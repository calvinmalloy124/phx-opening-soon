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Budget" sheetId="3" state="visible" r:id="rId5"/>
    <sheet name="Payment Schedu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<sst xmlns="http://schemas.openxmlformats.org/spreadsheetml/2006/main" count="95" uniqueCount="74">
  <si>
    <t xml:space="preserve">Wedding Budget Tracker</t>
  </si>
  <si>
    <t xml:space="preserve">Simple Sheets Co. — Excel + Google Sheets</t>
  </si>
  <si>
    <t xml:space="preserve">Setup</t>
  </si>
  <si>
    <t xml:space="preserve">1. Enter your total budget and who's contributing on the Budget tab.</t>
  </si>
  <si>
    <t xml:space="preserve">2. Every category has a typical share of budget pre-filled so you get a starting allocation instantly. Change any percentage.</t>
  </si>
  <si>
    <t xml:space="preserve">3. As you book vendors, enter the quoted price, deposit paid, and what's still due. Over/under per category and overall updates live.</t>
  </si>
  <si>
    <t xml:space="preserve">4. Payment Schedule tab lists every payment with its due date so nothing sneaks up on you.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</si>
  <si>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</si>
  <si>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</si>
  <si>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</si>
  <si>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</si>
  <si>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</si>
  <si>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For planning and educational use only. Not financial, legal, or tax advice. Every number is an estimate you should verify for your own business.</t>
  </si>
  <si>
    <t xml:space="preserve">Wedding Budget</t>
  </si>
  <si>
    <t xml:space="preserve">Where the money is going, at a glance.</t>
  </si>
  <si>
    <t xml:space="preserve">TOTAL BUDGET</t>
  </si>
  <si>
    <t xml:space="preserve">COMMITTED (QUOTES &amp; BOOKINGS)</t>
  </si>
  <si>
    <t xml:space="preserve">REMAINING TO SPEND</t>
  </si>
  <si>
    <t xml:space="preserve">STILL OWED TO VENDORS</t>
  </si>
  <si>
    <t xml:space="preserve">COST PER GUEST</t>
  </si>
  <si>
    <t xml:space="preserve">DUE IN NEXT 30 DAYS</t>
  </si>
  <si>
    <t xml:space="preserve">BUDGET USED</t>
  </si>
  <si>
    <t xml:space="preserve">Budget used</t>
  </si>
  <si>
    <t xml:space="preserve">Allocation vs actual.</t>
  </si>
  <si>
    <t xml:space="preserve">How to use: type your numbers in the yellow cells (blue text). Everything else calculates.</t>
  </si>
  <si>
    <t xml:space="preserve">Total budget</t>
  </si>
  <si>
    <t xml:space="preserve">Guest count</t>
  </si>
  <si>
    <t xml:space="preserve">Category</t>
  </si>
  <si>
    <t xml:space="preserve">Typical %</t>
  </si>
  <si>
    <t xml:space="preserve">Allocated</t>
  </si>
  <si>
    <t xml:space="preserve">Quoted / actual</t>
  </si>
  <si>
    <t xml:space="preserve">Deposit paid</t>
  </si>
  <si>
    <t xml:space="preserve">Still due</t>
  </si>
  <si>
    <t xml:space="preserve">Over / (under) allocation</t>
  </si>
  <si>
    <t xml:space="preserve">Vendor / notes</t>
  </si>
  <si>
    <t xml:space="preserve">Venue &amp; rentals</t>
  </si>
  <si>
    <t xml:space="preserve">Catering &amp; bar</t>
  </si>
  <si>
    <t xml:space="preserve">Photography &amp; video</t>
  </si>
  <si>
    <t xml:space="preserve">Flowers &amp; décor</t>
  </si>
  <si>
    <t xml:space="preserve">Music / DJ / band</t>
  </si>
  <si>
    <t xml:space="preserve">Attire &amp; beauty</t>
  </si>
  <si>
    <t xml:space="preserve">Invitations &amp; stationery</t>
  </si>
  <si>
    <t xml:space="preserve">Cake &amp; desserts</t>
  </si>
  <si>
    <t xml:space="preserve">Officiant &amp; ceremony</t>
  </si>
  <si>
    <t xml:space="preserve">Transportation</t>
  </si>
  <si>
    <t xml:space="preserve">Rings</t>
  </si>
  <si>
    <t xml:space="preserve">Favors &amp; gifts</t>
  </si>
  <si>
    <t xml:space="preserve">TOTAL</t>
  </si>
  <si>
    <t xml:space="preserve">Remaining vs total budget</t>
  </si>
  <si>
    <t xml:space="preserve">Cost per guest so far</t>
  </si>
  <si>
    <t xml:space="preserve">Allocation check</t>
  </si>
  <si>
    <t xml:space="preserve">Payment Schedule</t>
  </si>
  <si>
    <t xml:space="preserve">Every payment, in date order.</t>
  </si>
  <si>
    <t xml:space="preserve">Due date</t>
  </si>
  <si>
    <t xml:space="preserve">Vendor</t>
  </si>
  <si>
    <t xml:space="preserve">Amount</t>
  </si>
  <si>
    <t xml:space="preserve">Paid?</t>
  </si>
  <si>
    <t xml:space="preserve">Paid date</t>
  </si>
  <si>
    <t xml:space="preserve">Outstanding</t>
  </si>
  <si>
    <t xml:space="preserve">2026-10-01</t>
  </si>
  <si>
    <t xml:space="preserve">The Grove Venue</t>
  </si>
  <si>
    <t xml:space="preserve">Y</t>
  </si>
  <si>
    <t xml:space="preserve">2026-09-15</t>
  </si>
  <si>
    <t xml:space="preserve">2026-10-10</t>
  </si>
  <si>
    <t xml:space="preserve">N</t>
  </si>
  <si>
    <t xml:space="preserve">2027-04-01</t>
  </si>
  <si>
    <t xml:space="preserve">2026-11-01</t>
  </si>
  <si>
    <t xml:space="preserve">Blue Fig Catering</t>
  </si>
  <si>
    <t xml:space="preserve">2026-10-28</t>
  </si>
  <si>
    <t xml:space="preserve">2027-03-15</t>
  </si>
  <si>
    <t xml:space="preserve">2026-10-20</t>
  </si>
  <si>
    <t xml:space="preserve">Ellie Rose Photo</t>
  </si>
  <si>
    <t xml:space="preserve">2027-04-20</t>
  </si>
  <si>
    <t xml:space="preserve">Due in next 30 days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</si>
</sst>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#,##0;\(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sz val="12"/>
      <color rgb="FF2E6F7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FFE9A8"/>
        <bgColor rgb="FFFBF6E9"/>
      </patternFill>
    </fill>
    <fill>
      <patternFill patternType="solid">
        <fgColor rgb="FF2E6F73"/>
        <bgColor rgb="FF008080"/>
      </patternFill>
    </fill>
    <fill>
      <patternFill patternType="solid">
        <fgColor rgb="FFFBF6E9"/>
        <bgColor rgb="FFF4F1EC"/>
      </patternFill>
    </fill>
    <fill>
      <patternFill patternType="solid">
        <fgColor rgb="FFE7E6E6"/>
        <bgColor rgb="FFF4F1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878787"/>
      <rgbColor rgb="FF9999FF"/>
      <rgbColor rgb="FF993366"/>
      <rgbColor rgb="FFFBF6E9"/>
      <rgbColor rgb="FFF4F1EC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9A8"/>
      <rgbColor rgb="FF99CCFF"/>
      <rgbColor rgb="FFFF99CC"/>
      <rgbColor rgb="FFCC99FF"/>
      <rgbColor rgb="FFD9D4CC"/>
      <rgbColor rgb="FF3366FF"/>
      <rgbColor rgb="FF33CCCC"/>
      <rgbColor rgb="FF99CC00"/>
      <rgbColor rgb="FFFFCC00"/>
      <rgbColor rgb="FFFF9900"/>
      <rgbColor rgb="FFFF6600"/>
      <rgbColor rgb="FF666666"/>
      <rgbColor rgb="FF6B7A7C"/>
      <rgbColor rgb="FF003366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Allocated vs. committed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Budget!C8</c:f>
              <c:strCache>
                <c:ptCount val="1"/>
                <c:pt idx="0">
                  <c:v>Allocated</c:v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Budget!$A$9:$A$20</c:f>
              <c:strCache>
                <c:ptCount val="12"/>
                <c:pt idx="0">
                  <c:v>Venue &amp; rentals</c:v>
                </c:pt>
                <c:pt idx="1">
                  <c:v>Catering &amp; bar</c:v>
                </c:pt>
                <c:pt idx="2">
                  <c:v>Photography &amp; video</c:v>
                </c:pt>
                <c:pt idx="3">
                  <c:v>Flowers &amp; décor</c:v>
                </c:pt>
                <c:pt idx="4">
                  <c:v>Music / DJ / band</c:v>
                </c:pt>
                <c:pt idx="5">
                  <c:v>Attire &amp; beauty</c:v>
                </c:pt>
                <c:pt idx="6">
                  <c:v>Invitations &amp; stationery</c:v>
                </c:pt>
                <c:pt idx="7">
                  <c:v>Cake &amp; desserts</c:v>
                </c:pt>
                <c:pt idx="8">
                  <c:v>Officiant &amp; ceremony</c:v>
                </c:pt>
                <c:pt idx="9">
                  <c:v>Transportation</c:v>
                </c:pt>
                <c:pt idx="10">
                  <c:v>Rings</c:v>
                </c:pt>
                <c:pt idx="11">
                  <c:v>Favors &amp; gifts</c:v>
                </c:pt>
              </c:strCache>
            </c:strRef>
          </c:cat>
          <c:val>
            <c:numRef>
              <c:f>Budget!$C$9:$C$20</c:f>
              <c:numCache>
                <c:formatCode>\$#,##0;"($"#,##0\);\-</c:formatCode>
                <c:ptCount val="12"/>
                <c:pt idx="0">
                  <c:v>10500</c:v>
                </c:pt>
                <c:pt idx="1">
                  <c:v>8750</c:v>
                </c:pt>
                <c:pt idx="2">
                  <c:v>4200</c:v>
                </c:pt>
                <c:pt idx="3">
                  <c:v>2800</c:v>
                </c:pt>
                <c:pt idx="4">
                  <c:v>2100</c:v>
                </c:pt>
                <c:pt idx="5">
                  <c:v>2100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1050</c:v>
                </c:pt>
                <c:pt idx="11">
                  <c:v>700</c:v>
                </c:pt>
              </c:numCache>
            </c:numRef>
          </c:val>
        </c:ser>
        <c:ser>
          <c:idx val="1"/>
          <c:order val="1"/>
          <c:tx>
            <c:strRef>
              <c:f>Budget!D8</c:f>
              <c:strCache>
                <c:ptCount val="1"/>
                <c:pt idx="0">
                  <c:v>Quoted / actual</c:v>
                </c:pt>
              </c:strCache>
            </c:strRef>
          </c:tx>
          <c:spPr>
            <a:solidFill>
              <a:srgbClr val="c7813f"/>
            </a:solidFill>
            <a:ln w="9360">
              <a:solidFill>
                <a:srgbClr val="c7813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Budget!$A$9:$A$20</c:f>
              <c:strCache>
                <c:ptCount val="12"/>
                <c:pt idx="0">
                  <c:v>Venue &amp; rentals</c:v>
                </c:pt>
                <c:pt idx="1">
                  <c:v>Catering &amp; bar</c:v>
                </c:pt>
                <c:pt idx="2">
                  <c:v>Photography &amp; video</c:v>
                </c:pt>
                <c:pt idx="3">
                  <c:v>Flowers &amp; décor</c:v>
                </c:pt>
                <c:pt idx="4">
                  <c:v>Music / DJ / band</c:v>
                </c:pt>
                <c:pt idx="5">
                  <c:v>Attire &amp; beauty</c:v>
                </c:pt>
                <c:pt idx="6">
                  <c:v>Invitations &amp; stationery</c:v>
                </c:pt>
                <c:pt idx="7">
                  <c:v>Cake &amp; desserts</c:v>
                </c:pt>
                <c:pt idx="8">
                  <c:v>Officiant &amp; ceremony</c:v>
                </c:pt>
                <c:pt idx="9">
                  <c:v>Transportation</c:v>
                </c:pt>
                <c:pt idx="10">
                  <c:v>Rings</c:v>
                </c:pt>
                <c:pt idx="11">
                  <c:v>Favors &amp; gifts</c:v>
                </c:pt>
              </c:strCache>
            </c:strRef>
          </c:cat>
          <c:val>
            <c:numRef>
              <c:f>Budget!$D$9:$D$20</c:f>
              <c:numCache>
                <c:formatCode>\$#,##0;"($"#,##0\);\-</c:formatCode>
                <c:ptCount val="12"/>
                <c:pt idx="0">
                  <c:v>10400</c:v>
                </c:pt>
                <c:pt idx="1">
                  <c:v>8600</c:v>
                </c:pt>
                <c:pt idx="2">
                  <c:v>4200</c:v>
                </c:pt>
                <c:pt idx="3">
                  <c:v>2600</c:v>
                </c:pt>
                <c:pt idx="4">
                  <c:v>1800</c:v>
                </c:pt>
                <c:pt idx="5">
                  <c:v>2300</c:v>
                </c:pt>
                <c:pt idx="6">
                  <c:v>650</c:v>
                </c:pt>
                <c:pt idx="7">
                  <c:v>700</c:v>
                </c:pt>
                <c:pt idx="8">
                  <c:v>500</c:v>
                </c:pt>
                <c:pt idx="9">
                  <c:v>600</c:v>
                </c:pt>
                <c:pt idx="10">
                  <c:v>1100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5890141"/>
        <c:axId val="31000280"/>
      </c:barChart>
      <c:catAx>
        <c:axId val="758901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00280"/>
        <c:crosses val="autoZero"/>
        <c:auto val="1"/>
        <c:lblAlgn val="ctr"/>
        <c:lblOffset val="100"/>
        <c:noMultiLvlLbl val="0"/>
      </c:catAx>
      <c:valAx>
        <c:axId val="31000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901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70560</xdr:rowOff>
    </xdr:from>
    <xdr:to>
      <xdr:col>6</xdr:col>
      <xdr:colOff>701280</xdr:colOff>
      <xdr:row>32</xdr:row>
      <xdr:rowOff>71640</xdr:rowOff>
    </xdr:to>
    <xdr:graphicFrame>
      <xdr:nvGraphicFramePr>
        <xdr:cNvPr id="0" name="Chart 1"/>
        <xdr:cNvGraphicFramePr/>
      </xdr:nvGraphicFramePr>
      <xdr:xfrm>
        <a:off x="266760" y="31622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6" customFormat="false" ht="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13</v>
      </c>
    </row>
    <row r="3" customFormat="false" ht="15" hidden="false" customHeight="false" outlineLevel="0" collapsed="false">
      <c r="B3" s="6" t="s">
        <v>14</v>
      </c>
    </row>
    <row r="5" customFormat="false" ht="15.75" hidden="false" customHeight="true" outlineLevel="0" collapsed="false">
      <c r="B5" s="7" t="s">
        <v>15</v>
      </c>
      <c r="C5" s="7"/>
      <c r="D5" s="7"/>
      <c r="E5" s="7" t="s">
        <v>16</v>
      </c>
      <c r="F5" s="7"/>
      <c r="G5" s="7"/>
      <c r="H5" s="7" t="s">
        <v>17</v>
      </c>
      <c r="I5" s="7"/>
      <c r="J5" s="7"/>
      <c r="K5" s="7" t="s">
        <v>18</v>
      </c>
      <c r="L5" s="7"/>
      <c r="M5" s="7"/>
    </row>
    <row r="6" customFormat="false" ht="21.75" hidden="false" customHeight="true" outlineLevel="0" collapsed="false">
      <c r="B6" s="8" t="n">
        <f aca="false">Budget!B5</f>
        <v>35000</v>
      </c>
      <c r="C6" s="8"/>
      <c r="D6" s="8"/>
      <c r="E6" s="8" t="n">
        <f aca="false">Budget!D27</f>
        <v>33450</v>
      </c>
      <c r="F6" s="8"/>
      <c r="G6" s="8"/>
      <c r="H6" s="9" t="n">
        <f aca="false">Budget!B5-Budget!D27</f>
        <v>1550</v>
      </c>
      <c r="I6" s="9"/>
      <c r="J6" s="9"/>
      <c r="K6" s="8" t="n">
        <f aca="false">'Payment Schedule'!G33</f>
        <v>18400</v>
      </c>
      <c r="L6" s="8"/>
      <c r="M6" s="8"/>
    </row>
    <row r="7" customFormat="false" ht="12" hidden="false" customHeight="true" outlineLevel="0" collapsed="false">
      <c r="B7" s="8"/>
      <c r="C7" s="8"/>
      <c r="D7" s="8"/>
      <c r="E7" s="8"/>
      <c r="F7" s="8"/>
      <c r="G7" s="8"/>
      <c r="H7" s="9"/>
      <c r="I7" s="9"/>
      <c r="J7" s="9"/>
      <c r="K7" s="8"/>
      <c r="L7" s="8"/>
      <c r="M7" s="8"/>
    </row>
    <row r="9" customFormat="false" ht="15.75" hidden="false" customHeight="true" outlineLevel="0" collapsed="false">
      <c r="B9" s="7" t="s">
        <v>19</v>
      </c>
      <c r="C9" s="7"/>
      <c r="D9" s="7"/>
      <c r="E9" s="7" t="s">
        <v>20</v>
      </c>
      <c r="F9" s="7"/>
      <c r="G9" s="7"/>
      <c r="H9" s="7" t="s">
        <v>21</v>
      </c>
      <c r="I9" s="7"/>
      <c r="J9" s="7"/>
    </row>
    <row r="10" customFormat="false" ht="21.75" hidden="false" customHeight="true" outlineLevel="0" collapsed="false">
      <c r="B10" s="8" t="n">
        <f aca="false">IF(Budget!B6=0,0,Budget!D27/Budget!B6)</f>
        <v>278.75</v>
      </c>
      <c r="C10" s="8"/>
      <c r="D10" s="8"/>
      <c r="E10" s="9" t="n">
        <f aca="false">'Payment Schedule'!G34</f>
        <v>3700</v>
      </c>
      <c r="F10" s="9"/>
      <c r="G10" s="9"/>
      <c r="H10" s="10" t="n">
        <f aca="false">IF(Budget!B5=0,0,Budget!D27/Budget!B5)</f>
        <v>0.955714285714286</v>
      </c>
      <c r="I10" s="10"/>
      <c r="J10" s="10"/>
    </row>
    <row r="11" customFormat="false" ht="12" hidden="false" customHeight="true" outlineLevel="0" collapsed="false">
      <c r="B11" s="8"/>
      <c r="C11" s="8"/>
      <c r="D11" s="8"/>
      <c r="E11" s="9"/>
      <c r="F11" s="9"/>
      <c r="G11" s="9"/>
      <c r="H11" s="10"/>
      <c r="I11" s="10"/>
      <c r="J11" s="10"/>
    </row>
    <row r="13" customFormat="false" ht="15" hidden="false" customHeight="false" outlineLevel="0" collapsed="false">
      <c r="B13" s="11" t="s">
        <v>22</v>
      </c>
    </row>
    <row r="14" customFormat="false" ht="15" hidden="false" customHeight="false" outlineLevel="0" collapsed="false">
      <c r="B14" s="12" t="str">
        <f aca="false">REPT("█",ROUND(MIN(1,MAX(0,IF(Budget!B5=0,0,Budget!D27/Budget!B5)))*40,0))&amp;REPT("░",40-ROUND(MIN(1,MAX(0,IF(Budget!B5=0,0,Budget!D27/Budget!B5)))*40,0))&amp;"  "&amp;TEXT(IF(Budget!B5=0,0,Budget!D27/Budget!B5),"0%")</f>
        <v>██████████████████████████████████████░░  96%</v>
      </c>
    </row>
  </sheetData>
  <mergeCells count="14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H9:J9"/>
    <mergeCell ref="B10:D11"/>
    <mergeCell ref="E10:G11"/>
    <mergeCell ref="H10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13" t="s">
        <v>25</v>
      </c>
      <c r="B5" s="14" t="n">
        <v>35000</v>
      </c>
    </row>
    <row r="6" customFormat="false" ht="15" hidden="false" customHeight="false" outlineLevel="0" collapsed="false">
      <c r="A6" s="13" t="s">
        <v>26</v>
      </c>
      <c r="B6" s="15" t="n">
        <v>120</v>
      </c>
    </row>
    <row r="8" customFormat="false" ht="30" hidden="false" customHeight="true" outlineLevel="0" collapsed="false">
      <c r="A8" s="16" t="s">
        <v>27</v>
      </c>
      <c r="B8" s="16" t="s">
        <v>28</v>
      </c>
      <c r="C8" s="16" t="s">
        <v>29</v>
      </c>
      <c r="D8" s="16" t="s">
        <v>30</v>
      </c>
      <c r="E8" s="16" t="s">
        <v>31</v>
      </c>
      <c r="F8" s="16" t="s">
        <v>32</v>
      </c>
      <c r="G8" s="16" t="s">
        <v>33</v>
      </c>
      <c r="H8" s="16" t="s">
        <v>34</v>
      </c>
    </row>
    <row r="9" customFormat="false" ht="15" hidden="false" customHeight="false" outlineLevel="0" collapsed="false">
      <c r="A9" s="13" t="s">
        <v>35</v>
      </c>
      <c r="B9" s="17" t="n">
        <v>0.3</v>
      </c>
      <c r="C9" s="18" t="n">
        <f aca="false">B9*$B$5</f>
        <v>10500</v>
      </c>
      <c r="D9" s="19" t="n">
        <v>10400</v>
      </c>
      <c r="E9" s="19" t="n">
        <v>3000</v>
      </c>
      <c r="F9" s="18" t="n">
        <f aca="false">D9-E9</f>
        <v>7400</v>
      </c>
      <c r="G9" s="18" t="n">
        <f aca="false">D9-C9</f>
        <v>-100</v>
      </c>
      <c r="H9" s="20"/>
    </row>
    <row r="10" customFormat="false" ht="15" hidden="false" customHeight="false" outlineLevel="0" collapsed="false">
      <c r="A10" s="13" t="s">
        <v>36</v>
      </c>
      <c r="B10" s="17" t="n">
        <v>0.25</v>
      </c>
      <c r="C10" s="18" t="n">
        <f aca="false">B10*$B$5</f>
        <v>8750</v>
      </c>
      <c r="D10" s="19" t="n">
        <v>8600</v>
      </c>
      <c r="E10" s="19" t="n">
        <v>2000</v>
      </c>
      <c r="F10" s="18" t="n">
        <f aca="false">D10-E10</f>
        <v>6600</v>
      </c>
      <c r="G10" s="18" t="n">
        <f aca="false">D10-C10</f>
        <v>-150</v>
      </c>
      <c r="H10" s="20"/>
    </row>
    <row r="11" customFormat="false" ht="15" hidden="false" customHeight="false" outlineLevel="0" collapsed="false">
      <c r="A11" s="13" t="s">
        <v>37</v>
      </c>
      <c r="B11" s="17" t="n">
        <v>0.12</v>
      </c>
      <c r="C11" s="18" t="n">
        <f aca="false">B11*$B$5</f>
        <v>4200</v>
      </c>
      <c r="D11" s="19" t="n">
        <v>4200</v>
      </c>
      <c r="E11" s="19" t="n">
        <v>1000</v>
      </c>
      <c r="F11" s="18" t="n">
        <f aca="false">D11-E11</f>
        <v>3200</v>
      </c>
      <c r="G11" s="18" t="n">
        <f aca="false">D11-C11</f>
        <v>0</v>
      </c>
      <c r="H11" s="20"/>
    </row>
    <row r="12" customFormat="false" ht="15" hidden="false" customHeight="false" outlineLevel="0" collapsed="false">
      <c r="A12" s="13" t="s">
        <v>38</v>
      </c>
      <c r="B12" s="17" t="n">
        <v>0.08</v>
      </c>
      <c r="C12" s="18" t="n">
        <f aca="false">B12*$B$5</f>
        <v>2800</v>
      </c>
      <c r="D12" s="19" t="n">
        <v>2600</v>
      </c>
      <c r="E12" s="19" t="n">
        <v>500</v>
      </c>
      <c r="F12" s="18" t="n">
        <f aca="false">D12-E12</f>
        <v>2100</v>
      </c>
      <c r="G12" s="18" t="n">
        <f aca="false">D12-C12</f>
        <v>-200</v>
      </c>
      <c r="H12" s="20"/>
    </row>
    <row r="13" customFormat="false" ht="15" hidden="false" customHeight="false" outlineLevel="0" collapsed="false">
      <c r="A13" s="13" t="s">
        <v>39</v>
      </c>
      <c r="B13" s="17" t="n">
        <v>0.06</v>
      </c>
      <c r="C13" s="18" t="n">
        <f aca="false">B13*$B$5</f>
        <v>2100</v>
      </c>
      <c r="D13" s="19" t="n">
        <v>1800</v>
      </c>
      <c r="E13" s="19" t="n">
        <v>400</v>
      </c>
      <c r="F13" s="18" t="n">
        <f aca="false">D13-E13</f>
        <v>1400</v>
      </c>
      <c r="G13" s="18" t="n">
        <f aca="false">D13-C13</f>
        <v>-300</v>
      </c>
      <c r="H13" s="20"/>
    </row>
    <row r="14" customFormat="false" ht="15" hidden="false" customHeight="false" outlineLevel="0" collapsed="false">
      <c r="A14" s="13" t="s">
        <v>40</v>
      </c>
      <c r="B14" s="17" t="n">
        <v>0.06</v>
      </c>
      <c r="C14" s="18" t="n">
        <f aca="false">B14*$B$5</f>
        <v>2100</v>
      </c>
      <c r="D14" s="19" t="n">
        <v>2300</v>
      </c>
      <c r="E14" s="19" t="n">
        <v>900</v>
      </c>
      <c r="F14" s="18" t="n">
        <f aca="false">D14-E14</f>
        <v>1400</v>
      </c>
      <c r="G14" s="18" t="n">
        <f aca="false">D14-C14</f>
        <v>200</v>
      </c>
      <c r="H14" s="20"/>
    </row>
    <row r="15" customFormat="false" ht="15" hidden="false" customHeight="false" outlineLevel="0" collapsed="false">
      <c r="A15" s="13" t="s">
        <v>41</v>
      </c>
      <c r="B15" s="17" t="n">
        <v>0.02</v>
      </c>
      <c r="C15" s="18" t="n">
        <f aca="false">B15*$B$5</f>
        <v>700</v>
      </c>
      <c r="D15" s="19" t="n">
        <v>650</v>
      </c>
      <c r="E15" s="19" t="n">
        <v>650</v>
      </c>
      <c r="F15" s="18" t="n">
        <f aca="false">D15-E15</f>
        <v>0</v>
      </c>
      <c r="G15" s="18" t="n">
        <f aca="false">D15-C15</f>
        <v>-50</v>
      </c>
      <c r="H15" s="20"/>
    </row>
    <row r="16" customFormat="false" ht="15" hidden="false" customHeight="false" outlineLevel="0" collapsed="false">
      <c r="A16" s="13" t="s">
        <v>42</v>
      </c>
      <c r="B16" s="17" t="n">
        <v>0.02</v>
      </c>
      <c r="C16" s="18" t="n">
        <f aca="false">B16*$B$5</f>
        <v>700</v>
      </c>
      <c r="D16" s="19" t="n">
        <v>700</v>
      </c>
      <c r="E16" s="19" t="n">
        <v>200</v>
      </c>
      <c r="F16" s="18" t="n">
        <f aca="false">D16-E16</f>
        <v>500</v>
      </c>
      <c r="G16" s="18" t="n">
        <f aca="false">D16-C16</f>
        <v>0</v>
      </c>
      <c r="H16" s="20"/>
    </row>
    <row r="17" customFormat="false" ht="15" hidden="false" customHeight="false" outlineLevel="0" collapsed="false">
      <c r="A17" s="13" t="s">
        <v>43</v>
      </c>
      <c r="B17" s="17" t="n">
        <v>0.02</v>
      </c>
      <c r="C17" s="18" t="n">
        <f aca="false">B17*$B$5</f>
        <v>700</v>
      </c>
      <c r="D17" s="19" t="n">
        <v>500</v>
      </c>
      <c r="E17" s="19" t="n">
        <v>0</v>
      </c>
      <c r="F17" s="18" t="n">
        <f aca="false">D17-E17</f>
        <v>500</v>
      </c>
      <c r="G17" s="18" t="n">
        <f aca="false">D17-C17</f>
        <v>-200</v>
      </c>
      <c r="H17" s="20"/>
    </row>
    <row r="18" customFormat="false" ht="15" hidden="false" customHeight="false" outlineLevel="0" collapsed="false">
      <c r="A18" s="13" t="s">
        <v>44</v>
      </c>
      <c r="B18" s="17" t="n">
        <v>0.02</v>
      </c>
      <c r="C18" s="18" t="n">
        <f aca="false">B18*$B$5</f>
        <v>700</v>
      </c>
      <c r="D18" s="19" t="n">
        <v>600</v>
      </c>
      <c r="E18" s="19" t="n">
        <v>0</v>
      </c>
      <c r="F18" s="18" t="n">
        <f aca="false">D18-E18</f>
        <v>600</v>
      </c>
      <c r="G18" s="18" t="n">
        <f aca="false">D18-C18</f>
        <v>-100</v>
      </c>
      <c r="H18" s="20"/>
    </row>
    <row r="19" customFormat="false" ht="15" hidden="false" customHeight="false" outlineLevel="0" collapsed="false">
      <c r="A19" s="13" t="s">
        <v>45</v>
      </c>
      <c r="B19" s="17" t="n">
        <v>0.03</v>
      </c>
      <c r="C19" s="18" t="n">
        <f aca="false">B19*$B$5</f>
        <v>1050</v>
      </c>
      <c r="D19" s="19" t="n">
        <v>1100</v>
      </c>
      <c r="E19" s="19" t="n">
        <v>1100</v>
      </c>
      <c r="F19" s="18" t="n">
        <f aca="false">D19-E19</f>
        <v>0</v>
      </c>
      <c r="G19" s="18" t="n">
        <f aca="false">D19-C19</f>
        <v>50</v>
      </c>
      <c r="H19" s="20"/>
    </row>
    <row r="20" customFormat="false" ht="15" hidden="false" customHeight="false" outlineLevel="0" collapsed="false">
      <c r="A20" s="13" t="s">
        <v>46</v>
      </c>
      <c r="B20" s="17" t="n">
        <v>0.02</v>
      </c>
      <c r="C20" s="18" t="n">
        <f aca="false">B20*$B$5</f>
        <v>700</v>
      </c>
      <c r="D20" s="19" t="n">
        <v>0</v>
      </c>
      <c r="E20" s="19" t="n">
        <v>0</v>
      </c>
      <c r="F20" s="18" t="n">
        <f aca="false">D20-E20</f>
        <v>0</v>
      </c>
      <c r="G20" s="18" t="n">
        <f aca="false">D20-C20</f>
        <v>-700</v>
      </c>
      <c r="H20" s="20"/>
    </row>
    <row r="21" customFormat="false" ht="15" hidden="false" customHeight="false" outlineLevel="0" collapsed="false">
      <c r="A21" s="20"/>
      <c r="B21" s="17" t="n">
        <v>0</v>
      </c>
      <c r="C21" s="18" t="n">
        <f aca="false">B21*$B$5</f>
        <v>0</v>
      </c>
      <c r="D21" s="19"/>
      <c r="E21" s="19"/>
      <c r="F21" s="18" t="n">
        <f aca="false">D21-E21</f>
        <v>0</v>
      </c>
      <c r="G21" s="18" t="n">
        <f aca="false">D21-C21</f>
        <v>0</v>
      </c>
      <c r="H21" s="20"/>
    </row>
    <row r="22" customFormat="false" ht="15" hidden="false" customHeight="false" outlineLevel="0" collapsed="false">
      <c r="A22" s="20"/>
      <c r="B22" s="17" t="n">
        <v>0</v>
      </c>
      <c r="C22" s="18" t="n">
        <f aca="false">B22*$B$5</f>
        <v>0</v>
      </c>
      <c r="D22" s="19"/>
      <c r="E22" s="19"/>
      <c r="F22" s="18" t="n">
        <f aca="false">D22-E22</f>
        <v>0</v>
      </c>
      <c r="G22" s="18" t="n">
        <f aca="false">D22-C22</f>
        <v>0</v>
      </c>
      <c r="H22" s="20"/>
    </row>
    <row r="23" customFormat="false" ht="15" hidden="false" customHeight="false" outlineLevel="0" collapsed="false">
      <c r="A23" s="20"/>
      <c r="B23" s="17" t="n">
        <v>0</v>
      </c>
      <c r="C23" s="18" t="n">
        <f aca="false">B23*$B$5</f>
        <v>0</v>
      </c>
      <c r="D23" s="19"/>
      <c r="E23" s="19"/>
      <c r="F23" s="18" t="n">
        <f aca="false">D23-E23</f>
        <v>0</v>
      </c>
      <c r="G23" s="18" t="n">
        <f aca="false">D23-C23</f>
        <v>0</v>
      </c>
      <c r="H23" s="20"/>
    </row>
    <row r="24" customFormat="false" ht="15" hidden="false" customHeight="false" outlineLevel="0" collapsed="false">
      <c r="A24" s="20"/>
      <c r="B24" s="17" t="n">
        <v>0</v>
      </c>
      <c r="C24" s="18" t="n">
        <f aca="false">B24*$B$5</f>
        <v>0</v>
      </c>
      <c r="D24" s="19"/>
      <c r="E24" s="19"/>
      <c r="F24" s="18" t="n">
        <f aca="false">D24-E24</f>
        <v>0</v>
      </c>
      <c r="G24" s="18" t="n">
        <f aca="false">D24-C24</f>
        <v>0</v>
      </c>
      <c r="H24" s="20"/>
    </row>
    <row r="25" customFormat="false" ht="15" hidden="false" customHeight="false" outlineLevel="0" collapsed="false">
      <c r="A25" s="20"/>
      <c r="B25" s="17" t="n">
        <v>0</v>
      </c>
      <c r="C25" s="18" t="n">
        <f aca="false">B25*$B$5</f>
        <v>0</v>
      </c>
      <c r="D25" s="19"/>
      <c r="E25" s="19"/>
      <c r="F25" s="18" t="n">
        <f aca="false">D25-E25</f>
        <v>0</v>
      </c>
      <c r="G25" s="18" t="n">
        <f aca="false">D25-C25</f>
        <v>0</v>
      </c>
      <c r="H25" s="20"/>
    </row>
    <row r="26" customFormat="false" ht="15" hidden="false" customHeight="false" outlineLevel="0" collapsed="false">
      <c r="A26" s="20"/>
      <c r="B26" s="17" t="n">
        <v>0</v>
      </c>
      <c r="C26" s="18" t="n">
        <f aca="false">B26*$B$5</f>
        <v>0</v>
      </c>
      <c r="D26" s="19"/>
      <c r="E26" s="19"/>
      <c r="F26" s="18" t="n">
        <f aca="false">D26-E26</f>
        <v>0</v>
      </c>
      <c r="G26" s="18" t="n">
        <f aca="false">D26-C26</f>
        <v>0</v>
      </c>
      <c r="H26" s="20"/>
    </row>
    <row r="27" customFormat="false" ht="15" hidden="false" customHeight="false" outlineLevel="0" collapsed="false">
      <c r="A27" s="21" t="s">
        <v>47</v>
      </c>
      <c r="B27" s="22" t="n">
        <f aca="false">SUM(B9:B26)</f>
        <v>1</v>
      </c>
      <c r="C27" s="23" t="n">
        <f aca="false">SUM(C9:C26)</f>
        <v>35000</v>
      </c>
      <c r="D27" s="23" t="n">
        <f aca="false">SUM(D9:D26)</f>
        <v>33450</v>
      </c>
      <c r="E27" s="23" t="n">
        <f aca="false">SUM(E9:E26)</f>
        <v>9750</v>
      </c>
      <c r="F27" s="23" t="n">
        <f aca="false">SUM(F9:F26)</f>
        <v>23700</v>
      </c>
      <c r="G27" s="23" t="n">
        <f aca="false">SUM(G9:G26)</f>
        <v>-1550</v>
      </c>
    </row>
    <row r="29" customFormat="false" ht="15" hidden="false" customHeight="false" outlineLevel="0" collapsed="false">
      <c r="A29" s="21" t="s">
        <v>48</v>
      </c>
      <c r="B29" s="24" t="n">
        <f aca="false">B5-D27</f>
        <v>1550</v>
      </c>
    </row>
    <row r="30" customFormat="false" ht="15" hidden="false" customHeight="false" outlineLevel="0" collapsed="false">
      <c r="A30" s="13" t="s">
        <v>49</v>
      </c>
      <c r="B30" s="18" t="n">
        <f aca="false">IF(B6=0,0,D27/B6)</f>
        <v>278.75</v>
      </c>
    </row>
    <row r="31" customFormat="false" ht="15" hidden="false" customHeight="false" outlineLevel="0" collapsed="false">
      <c r="A31" s="13" t="s">
        <v>50</v>
      </c>
      <c r="B31" s="13" t="str">
        <f aca="false">IF(ABS(B27-1)&lt;0.005,"Percentages add to 100%","Percentages add to "&amp;TEXT(B27,"0%")&amp;" — adjust")</f>
        <v>Percentages add to 100%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2" t="s">
        <v>24</v>
      </c>
    </row>
    <row r="5" customFormat="false" ht="30" hidden="false" customHeight="true" outlineLevel="0" collapsed="false">
      <c r="A5" s="16" t="s">
        <v>53</v>
      </c>
      <c r="B5" s="16" t="s">
        <v>54</v>
      </c>
      <c r="C5" s="16" t="s">
        <v>27</v>
      </c>
      <c r="D5" s="16" t="s">
        <v>55</v>
      </c>
      <c r="E5" s="16" t="s">
        <v>56</v>
      </c>
      <c r="F5" s="16" t="s">
        <v>57</v>
      </c>
      <c r="G5" s="16" t="s">
        <v>58</v>
      </c>
    </row>
    <row r="6" customFormat="false" ht="15" hidden="false" customHeight="false" outlineLevel="0" collapsed="false">
      <c r="A6" s="20" t="s">
        <v>59</v>
      </c>
      <c r="B6" s="20" t="s">
        <v>60</v>
      </c>
      <c r="C6" s="20" t="s">
        <v>35</v>
      </c>
      <c r="D6" s="19" t="n">
        <v>3000</v>
      </c>
      <c r="E6" s="20" t="s">
        <v>61</v>
      </c>
      <c r="F6" s="20" t="s">
        <v>62</v>
      </c>
      <c r="G6" s="18" t="n">
        <f aca="false">IF(E6="Y",0,D6)</f>
        <v>0</v>
      </c>
    </row>
    <row r="7" customFormat="false" ht="15" hidden="false" customHeight="false" outlineLevel="0" collapsed="false">
      <c r="A7" s="20" t="s">
        <v>63</v>
      </c>
      <c r="B7" s="20" t="s">
        <v>60</v>
      </c>
      <c r="C7" s="20" t="s">
        <v>35</v>
      </c>
      <c r="D7" s="19" t="n">
        <v>3700</v>
      </c>
      <c r="E7" s="20" t="s">
        <v>64</v>
      </c>
      <c r="F7" s="20"/>
      <c r="G7" s="18" t="n">
        <f aca="false">IF(E7="Y",0,D7)</f>
        <v>3700</v>
      </c>
    </row>
    <row r="8" customFormat="false" ht="15" hidden="false" customHeight="false" outlineLevel="0" collapsed="false">
      <c r="A8" s="20" t="s">
        <v>65</v>
      </c>
      <c r="B8" s="20" t="s">
        <v>60</v>
      </c>
      <c r="C8" s="20" t="s">
        <v>35</v>
      </c>
      <c r="D8" s="19" t="n">
        <v>4100</v>
      </c>
      <c r="E8" s="20" t="s">
        <v>64</v>
      </c>
      <c r="F8" s="20"/>
      <c r="G8" s="18" t="n">
        <f aca="false">IF(E8="Y",0,D8)</f>
        <v>4100</v>
      </c>
    </row>
    <row r="9" customFormat="false" ht="15" hidden="false" customHeight="false" outlineLevel="0" collapsed="false">
      <c r="A9" s="20" t="s">
        <v>66</v>
      </c>
      <c r="B9" s="20" t="s">
        <v>67</v>
      </c>
      <c r="C9" s="20" t="s">
        <v>36</v>
      </c>
      <c r="D9" s="19" t="n">
        <v>2000</v>
      </c>
      <c r="E9" s="20" t="s">
        <v>61</v>
      </c>
      <c r="F9" s="20" t="s">
        <v>68</v>
      </c>
      <c r="G9" s="18" t="n">
        <f aca="false">IF(E9="Y",0,D9)</f>
        <v>0</v>
      </c>
    </row>
    <row r="10" customFormat="false" ht="15" hidden="false" customHeight="false" outlineLevel="0" collapsed="false">
      <c r="A10" s="20" t="s">
        <v>69</v>
      </c>
      <c r="B10" s="20" t="s">
        <v>67</v>
      </c>
      <c r="C10" s="20" t="s">
        <v>36</v>
      </c>
      <c r="D10" s="19" t="n">
        <v>7400</v>
      </c>
      <c r="E10" s="20" t="s">
        <v>64</v>
      </c>
      <c r="F10" s="20"/>
      <c r="G10" s="18" t="n">
        <f aca="false">IF(E10="Y",0,D10)</f>
        <v>7400</v>
      </c>
    </row>
    <row r="11" customFormat="false" ht="15" hidden="false" customHeight="false" outlineLevel="0" collapsed="false">
      <c r="A11" s="20" t="s">
        <v>70</v>
      </c>
      <c r="B11" s="20" t="s">
        <v>71</v>
      </c>
      <c r="C11" s="20" t="s">
        <v>37</v>
      </c>
      <c r="D11" s="19" t="n">
        <v>1000</v>
      </c>
      <c r="E11" s="20" t="s">
        <v>61</v>
      </c>
      <c r="F11" s="20" t="s">
        <v>70</v>
      </c>
      <c r="G11" s="18" t="n">
        <f aca="false">IF(E11="Y",0,D11)</f>
        <v>0</v>
      </c>
    </row>
    <row r="12" customFormat="false" ht="15" hidden="false" customHeight="false" outlineLevel="0" collapsed="false">
      <c r="A12" s="20" t="s">
        <v>72</v>
      </c>
      <c r="B12" s="20" t="s">
        <v>71</v>
      </c>
      <c r="C12" s="20" t="s">
        <v>37</v>
      </c>
      <c r="D12" s="19" t="n">
        <v>3200</v>
      </c>
      <c r="E12" s="20" t="s">
        <v>64</v>
      </c>
      <c r="F12" s="20"/>
      <c r="G12" s="18" t="n">
        <f aca="false">IF(E12="Y",0,D12)</f>
        <v>3200</v>
      </c>
    </row>
    <row r="13" customFormat="false" ht="15" hidden="false" customHeight="false" outlineLevel="0" collapsed="false">
      <c r="A13" s="20"/>
      <c r="B13" s="20"/>
      <c r="C13" s="20"/>
      <c r="D13" s="19"/>
      <c r="E13" s="20"/>
      <c r="F13" s="20"/>
      <c r="G13" s="18" t="str">
        <f aca="false">IF(D13="","",IF(E13="Y",0,D13))</f>
        <v/>
      </c>
    </row>
    <row r="14" customFormat="false" ht="15" hidden="false" customHeight="false" outlineLevel="0" collapsed="false">
      <c r="A14" s="20"/>
      <c r="B14" s="20"/>
      <c r="C14" s="20"/>
      <c r="D14" s="19"/>
      <c r="E14" s="20"/>
      <c r="F14" s="20"/>
      <c r="G14" s="18" t="str">
        <f aca="false">IF(D14="","",IF(E14="Y",0,D14))</f>
        <v/>
      </c>
    </row>
    <row r="15" customFormat="false" ht="15" hidden="false" customHeight="false" outlineLevel="0" collapsed="false">
      <c r="A15" s="20"/>
      <c r="B15" s="20"/>
      <c r="C15" s="20"/>
      <c r="D15" s="19"/>
      <c r="E15" s="20"/>
      <c r="F15" s="20"/>
      <c r="G15" s="18" t="str">
        <f aca="false">IF(D15="","",IF(E15="Y",0,D15))</f>
        <v/>
      </c>
    </row>
    <row r="16" customFormat="false" ht="15" hidden="false" customHeight="false" outlineLevel="0" collapsed="false">
      <c r="A16" s="20"/>
      <c r="B16" s="20"/>
      <c r="C16" s="20"/>
      <c r="D16" s="19"/>
      <c r="E16" s="20"/>
      <c r="F16" s="20"/>
      <c r="G16" s="18" t="str">
        <f aca="false">IF(D16="","",IF(E16="Y",0,D16))</f>
        <v/>
      </c>
    </row>
    <row r="17" customFormat="false" ht="15" hidden="false" customHeight="false" outlineLevel="0" collapsed="false">
      <c r="A17" s="20"/>
      <c r="B17" s="20"/>
      <c r="C17" s="20"/>
      <c r="D17" s="19"/>
      <c r="E17" s="20"/>
      <c r="F17" s="20"/>
      <c r="G17" s="18" t="str">
        <f aca="false">IF(D17="","",IF(E17="Y",0,D17))</f>
        <v/>
      </c>
    </row>
    <row r="18" customFormat="false" ht="15" hidden="false" customHeight="false" outlineLevel="0" collapsed="false">
      <c r="A18" s="20"/>
      <c r="B18" s="20"/>
      <c r="C18" s="20"/>
      <c r="D18" s="19"/>
      <c r="E18" s="20"/>
      <c r="F18" s="20"/>
      <c r="G18" s="18" t="str">
        <f aca="false">IF(D18="","",IF(E18="Y",0,D18))</f>
        <v/>
      </c>
    </row>
    <row r="19" customFormat="false" ht="15" hidden="false" customHeight="false" outlineLevel="0" collapsed="false">
      <c r="A19" s="20"/>
      <c r="B19" s="20"/>
      <c r="C19" s="20"/>
      <c r="D19" s="19"/>
      <c r="E19" s="20"/>
      <c r="F19" s="20"/>
      <c r="G19" s="18" t="str">
        <f aca="false">IF(D19="","",IF(E19="Y",0,D19))</f>
        <v/>
      </c>
    </row>
    <row r="20" customFormat="false" ht="15" hidden="false" customHeight="false" outlineLevel="0" collapsed="false">
      <c r="A20" s="20"/>
      <c r="B20" s="20"/>
      <c r="C20" s="20"/>
      <c r="D20" s="19"/>
      <c r="E20" s="20"/>
      <c r="F20" s="20"/>
      <c r="G20" s="18" t="str">
        <f aca="false">IF(D20="","",IF(E20="Y",0,D20))</f>
        <v/>
      </c>
    </row>
    <row r="21" customFormat="false" ht="15" hidden="false" customHeight="false" outlineLevel="0" collapsed="false">
      <c r="A21" s="20"/>
      <c r="B21" s="20"/>
      <c r="C21" s="20"/>
      <c r="D21" s="19"/>
      <c r="E21" s="20"/>
      <c r="F21" s="20"/>
      <c r="G21" s="18" t="str">
        <f aca="false">IF(D21="","",IF(E21="Y",0,D21))</f>
        <v/>
      </c>
    </row>
    <row r="22" customFormat="false" ht="15" hidden="false" customHeight="false" outlineLevel="0" collapsed="false">
      <c r="A22" s="20"/>
      <c r="B22" s="20"/>
      <c r="C22" s="20"/>
      <c r="D22" s="19"/>
      <c r="E22" s="20"/>
      <c r="F22" s="20"/>
      <c r="G22" s="18" t="str">
        <f aca="false">IF(D22="","",IF(E22="Y",0,D22))</f>
        <v/>
      </c>
    </row>
    <row r="23" customFormat="false" ht="15" hidden="false" customHeight="false" outlineLevel="0" collapsed="false">
      <c r="A23" s="20"/>
      <c r="B23" s="20"/>
      <c r="C23" s="20"/>
      <c r="D23" s="19"/>
      <c r="E23" s="20"/>
      <c r="F23" s="20"/>
      <c r="G23" s="18" t="str">
        <f aca="false">IF(D23="","",IF(E23="Y",0,D23))</f>
        <v/>
      </c>
    </row>
    <row r="24" customFormat="false" ht="15" hidden="false" customHeight="false" outlineLevel="0" collapsed="false">
      <c r="A24" s="20"/>
      <c r="B24" s="20"/>
      <c r="C24" s="20"/>
      <c r="D24" s="19"/>
      <c r="E24" s="20"/>
      <c r="F24" s="20"/>
      <c r="G24" s="18" t="str">
        <f aca="false">IF(D24="","",IF(E24="Y",0,D24))</f>
        <v/>
      </c>
    </row>
    <row r="25" customFormat="false" ht="15" hidden="false" customHeight="false" outlineLevel="0" collapsed="false">
      <c r="A25" s="20"/>
      <c r="B25" s="20"/>
      <c r="C25" s="20"/>
      <c r="D25" s="19"/>
      <c r="E25" s="20"/>
      <c r="F25" s="20"/>
      <c r="G25" s="18" t="str">
        <f aca="false">IF(D25="","",IF(E25="Y",0,D25))</f>
        <v/>
      </c>
    </row>
    <row r="26" customFormat="false" ht="15" hidden="false" customHeight="false" outlineLevel="0" collapsed="false">
      <c r="A26" s="20"/>
      <c r="B26" s="20"/>
      <c r="C26" s="20"/>
      <c r="D26" s="19"/>
      <c r="E26" s="20"/>
      <c r="F26" s="20"/>
      <c r="G26" s="18" t="str">
        <f aca="false">IF(D26="","",IF(E26="Y",0,D26))</f>
        <v/>
      </c>
    </row>
    <row r="27" customFormat="false" ht="15" hidden="false" customHeight="false" outlineLevel="0" collapsed="false">
      <c r="A27" s="20"/>
      <c r="B27" s="20"/>
      <c r="C27" s="20"/>
      <c r="D27" s="19"/>
      <c r="E27" s="20"/>
      <c r="F27" s="20"/>
      <c r="G27" s="18" t="str">
        <f aca="false">IF(D27="","",IF(E27="Y",0,D27))</f>
        <v/>
      </c>
    </row>
    <row r="28" customFormat="false" ht="15" hidden="false" customHeight="false" outlineLevel="0" collapsed="false">
      <c r="A28" s="20"/>
      <c r="B28" s="20"/>
      <c r="C28" s="20"/>
      <c r="D28" s="19"/>
      <c r="E28" s="20"/>
      <c r="F28" s="20"/>
      <c r="G28" s="18" t="str">
        <f aca="false">IF(D28="","",IF(E28="Y",0,D28))</f>
        <v/>
      </c>
    </row>
    <row r="29" customFormat="false" ht="15" hidden="false" customHeight="false" outlineLevel="0" collapsed="false">
      <c r="A29" s="20"/>
      <c r="B29" s="20"/>
      <c r="C29" s="20"/>
      <c r="D29" s="19"/>
      <c r="E29" s="20"/>
      <c r="F29" s="20"/>
      <c r="G29" s="18" t="str">
        <f aca="false">IF(D29="","",IF(E29="Y",0,D29))</f>
        <v/>
      </c>
    </row>
    <row r="30" customFormat="false" ht="15" hidden="false" customHeight="false" outlineLevel="0" collapsed="false">
      <c r="A30" s="20"/>
      <c r="B30" s="20"/>
      <c r="C30" s="20"/>
      <c r="D30" s="19"/>
      <c r="E30" s="20"/>
      <c r="F30" s="20"/>
      <c r="G30" s="18" t="str">
        <f aca="false">IF(D30="","",IF(E30="Y",0,D30))</f>
        <v/>
      </c>
    </row>
    <row r="31" customFormat="false" ht="15" hidden="false" customHeight="false" outlineLevel="0" collapsed="false">
      <c r="A31" s="20"/>
      <c r="B31" s="20"/>
      <c r="C31" s="20"/>
      <c r="D31" s="19"/>
      <c r="E31" s="20"/>
      <c r="F31" s="20"/>
      <c r="G31" s="18" t="str">
        <f aca="false">IF(D31="","",IF(E31="Y",0,D31))</f>
        <v/>
      </c>
    </row>
    <row r="32" customFormat="false" ht="15" hidden="false" customHeight="false" outlineLevel="0" collapsed="false">
      <c r="A32" s="20"/>
      <c r="B32" s="20"/>
      <c r="C32" s="20"/>
      <c r="D32" s="19"/>
      <c r="E32" s="20"/>
      <c r="F32" s="20"/>
      <c r="G32" s="18" t="str">
        <f aca="false">IF(D32="","",IF(E32="Y",0,D32))</f>
        <v/>
      </c>
    </row>
    <row r="33" customFormat="false" ht="15" hidden="false" customHeight="false" outlineLevel="0" collapsed="false">
      <c r="A33" s="21" t="s">
        <v>47</v>
      </c>
      <c r="D33" s="23" t="n">
        <f aca="false">SUM(D6:D32)</f>
        <v>24400</v>
      </c>
      <c r="G33" s="23" t="n">
        <f aca="false">SUM(G6:G32)</f>
        <v>18400</v>
      </c>
    </row>
    <row r="34" customFormat="false" ht="15" hidden="false" customHeight="false" outlineLevel="0" collapsed="false">
      <c r="A34" s="13" t="s">
        <v>73</v>
      </c>
      <c r="G34" s="18" t="n">
        <f aca="true">SUMPRODUCT((G6:G32&lt;&gt;"")*(E6:E32&lt;&gt;"Y")*(A6:A32&lt;&gt;"")*(DATEVALUE(A6:A32&amp;"")-TODAY()&lt;=30)*(DATEVALUE(A6:A32&amp;"")-TODAY()&gt;=0),G6:G32)</f>
        <v>3700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2026-09-18T06:47:52Z</dcterms:created>
  <dc:creator>openpyxl</dc:creator>
  <dc:description/>
  <dc:language>en-US</dc:language>
  <cp:lastModifiedBy/>
  <dcterms:modified xsi:type="dcterms:W3CDTF">2026-09-18T06:47:53Z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