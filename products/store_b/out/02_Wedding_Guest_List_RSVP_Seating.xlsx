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Details" sheetId="3" state="visible" r:id="rId5"/>
    <sheet name="Seating" sheetId="4" state="visible" r:id="rId6"/>
    <sheet name="Guest 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<sst xmlns="http://schemas.openxmlformats.org/spreadsheetml/2006/main" count="125" uniqueCount="87">
  <si>
    <t xml:space="preserve">Wedding Guest List, RSVP &amp; Seating Chart</t>
  </si>
  <si>
    <t xml:space="preserve">Simple Sheets Co. — Excel + Google Sheets</t>
  </si>
  <si>
    <t xml:space="preserve">Setup</t>
  </si>
  <si>
    <t xml:space="preserve">1. Guest List tab: one row per guest (put each person on their own row so meal counts are right). Mark invited, RSVP, meal, and table.</t>
  </si>
  <si>
    <t xml:space="preserve">2. Dashboard shows invited vs responded vs attending, meal counts, and headcount per table.</t>
  </si>
  <si>
    <t xml:space="preserve">3. Seating tab lays out tables; it pulls names by table number automatically.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</si>
  <si>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</si>
  <si>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</si>
  <si>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</si>
  <si>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</si>
  <si>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</si>
  <si>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</si>
  <si>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RSVP Dashboard</t>
  </si>
  <si>
    <t xml:space="preserve">Who's coming, what they're eating, where they're sitting.</t>
  </si>
  <si>
    <t xml:space="preserve">ON THE LIST</t>
  </si>
  <si>
    <t xml:space="preserve">INVITED</t>
  </si>
  <si>
    <t xml:space="preserve">ATTENDING</t>
  </si>
  <si>
    <t xml:space="preserve">AWAITING REPLY</t>
  </si>
  <si>
    <t xml:space="preserve">DECLINED</t>
  </si>
  <si>
    <t xml:space="preserve">RESPONSE RATE</t>
  </si>
  <si>
    <t xml:space="preserve">RSVP</t>
  </si>
  <si>
    <t xml:space="preserve">Attending</t>
  </si>
  <si>
    <t xml:space="preserve">Declined</t>
  </si>
  <si>
    <t xml:space="preserve">Awaiting</t>
  </si>
  <si>
    <t xml:space="preserve">Guests on list</t>
  </si>
  <si>
    <t xml:space="preserve">Invites sent</t>
  </si>
  <si>
    <t xml:space="preserve">Responded</t>
  </si>
  <si>
    <t xml:space="preserve">Attending (Yes)</t>
  </si>
  <si>
    <t xml:space="preserve">Awaiting reply</t>
  </si>
  <si>
    <t xml:space="preserve">Response rate</t>
  </si>
  <si>
    <t xml:space="preserve">Meal counts (attending only)</t>
  </si>
  <si>
    <t xml:space="preserve">Guests</t>
  </si>
  <si>
    <t xml:space="preserve">Chicken</t>
  </si>
  <si>
    <t xml:space="preserve">Beef</t>
  </si>
  <si>
    <t xml:space="preserve">Fish</t>
  </si>
  <si>
    <t xml:space="preserve">Veg</t>
  </si>
  <si>
    <t xml:space="preserve">Kids</t>
  </si>
  <si>
    <t xml:space="preserve">Headcount by table</t>
  </si>
  <si>
    <t xml:space="preserve">Table 1</t>
  </si>
  <si>
    <t xml:space="preserve">Table 2</t>
  </si>
  <si>
    <t xml:space="preserve">Table 3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</si>
  <si>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</si>
  <si>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</si>
  <si>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</si>
  <si>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</si>
  <si>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</si>
  <si>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Table 9</t>
  </si>
  <si>
    <t xml:space="preserve">Table 10</t>
  </si>
  <si>
    <t xml:space="preserve">Table 11</t>
  </si>
  <si>
    <t xml:space="preserve">Table 12</t>
  </si>
  <si>
    <t xml:space="preserve">Table 13</t>
  </si>
  <si>
    <t xml:space="preserve">Table 14</t>
  </si>
  <si>
    <t xml:space="preserve">Table 15</t>
  </si>
  <si>
    <t xml:space="preserve">Seating Chart</t>
  </si>
  <si>
    <t xml:space="preserve">Names fill in from the Guest List by table number (attending guests only).</t>
  </si>
  <si>
    <t xml:space="preserve">Seats fill in order of the Guest List. Column K on the Guest List is a helper; leave it alone.</t>
  </si>
  <si>
    <t xml:space="preserve">Guest List</t>
  </si>
  <si>
    <t xml:space="preserve">How to use: type your numbers in the yellow cells (blue text). Everything else calculates.</t>
  </si>
  <si>
    <t xml:space="preserve">Name</t>
  </si>
  <si>
    <t xml:space="preserve">Party / household</t>
  </si>
  <si>
    <t xml:space="preserve">Side</t>
  </si>
  <si>
    <t xml:space="preserve">Address</t>
  </si>
  <si>
    <t xml:space="preserve">Invite sent</t>
  </si>
  <si>
    <t xml:space="preserve">RSVP (Y/N/blank)</t>
  </si>
  <si>
    <t xml:space="preserve">Meal</t>
  </si>
  <si>
    <t xml:space="preserve">Table #</t>
  </si>
  <si>
    <t xml:space="preserve">Plus one?</t>
  </si>
  <si>
    <t xml:space="preserve">Dietary notes</t>
  </si>
  <si>
    <t xml:space="preserve">seat key</t>
  </si>
  <si>
    <t xml:space="preserve">Maria Lopez</t>
  </si>
  <si>
    <t xml:space="preserve">Lopez</t>
  </si>
  <si>
    <t xml:space="preserve">Bride</t>
  </si>
  <si>
    <t xml:space="preserve">Y</t>
  </si>
  <si>
    <t xml:space="preserve">Daniel Lopez</t>
  </si>
  <si>
    <t xml:space="preserve">Grace Kim</t>
  </si>
  <si>
    <t xml:space="preserve">Kim</t>
  </si>
  <si>
    <t xml:space="preserve">Owen Carter</t>
  </si>
  <si>
    <t xml:space="preserve">Carter</t>
  </si>
  <si>
    <t xml:space="preserve">Groom</t>
  </si>
  <si>
    <t xml:space="preserve">N</t>
  </si>
  <si>
    <t xml:space="preserve">Tasha Reed</t>
  </si>
  <si>
    <t xml:space="preserve">Reed</t>
  </si>
  <si>
    <t xml:space="preserve">Sam Patel</t>
  </si>
  <si>
    <t xml:space="preserve">Patel</t>
  </si>
  <si>
    <t xml:space="preserve">Nina Patel</t>
  </si>
  <si>
    <t xml:space="preserve">Luis Ortega</t>
  </si>
  <si>
    <t xml:space="preserve">Ortega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</si>
</sst>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sz val="9"/>
      <color rgb="FF6B7A7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E7E6E6"/>
        <bgColor rgb="FFF4F1EC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9F9F9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C"/>
      <rgbColor rgb="FFE7E6E6"/>
      <rgbColor rgb="FFFFFF99"/>
      <rgbColor rgb="FF99CCFF"/>
      <rgbColor rgb="FFFF99CC"/>
      <rgbColor rgb="FFCC99FF"/>
      <rgbColor rgb="FFD9D4CC"/>
      <rgbColor rgb="FF4F81BD"/>
      <rgbColor rgb="FF33CCCC"/>
      <rgbColor rgb="FF99CC00"/>
      <rgbColor rgb="FFFFCC00"/>
      <rgbColor rgb="FFFF9900"/>
      <rgbColor rgb="FFFF6600"/>
      <rgbColor rgb="FF666666"/>
      <rgbColor rgb="FFB8B2A7"/>
      <rgbColor rgb="FF003366"/>
      <rgbColor rgb="FF6B7A7C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RSVP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6f7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b8b2a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7813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Dashboard!$N$14:$N$16</c:f>
              <c:strCache>
                <c:ptCount val="3"/>
                <c:pt idx="0">
                  <c:v>Attending</c:v>
                </c:pt>
                <c:pt idx="1">
                  <c:v>Declined</c:v>
                </c:pt>
                <c:pt idx="2">
                  <c:v>Awaiting</c:v>
                </c:pt>
              </c:strCache>
            </c:strRef>
          </c:cat>
          <c:val>
            <c:numRef>
              <c:f>Dashboard!$O$14:$O$16</c:f>
              <c:numCache>
                <c:formatCode>#,##0;\(#,##0\);\-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Meal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Details!B11</c:f>
              <c:strCache>
                <c:ptCount val="1"/>
                <c:pt idx="0">
                  <c:v>Guests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Details!$A$12:$A$16</c:f>
              <c:strCache>
                <c:ptCount val="5"/>
                <c:pt idx="0">
                  <c:v>Chicken</c:v>
                </c:pt>
                <c:pt idx="1">
                  <c:v>Beef</c:v>
                </c:pt>
                <c:pt idx="2">
                  <c:v>Fish</c:v>
                </c:pt>
                <c:pt idx="3">
                  <c:v>Veg</c:v>
                </c:pt>
                <c:pt idx="4">
                  <c:v>Kids</c:v>
                </c:pt>
              </c:strCache>
            </c:strRef>
          </c:cat>
          <c:val>
            <c:numRef>
              <c:f>Details!$B$12:$B$16</c:f>
              <c:numCache>
                <c:formatCode>#,##0;\(#,##0\);\-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3329173"/>
        <c:axId val="77014940"/>
      </c:barChart>
      <c:catAx>
        <c:axId val="33329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14940"/>
        <c:crosses val="autoZero"/>
        <c:auto val="1"/>
        <c:lblAlgn val="ctr"/>
        <c:lblOffset val="100"/>
        <c:noMultiLvlLbl val="0"/>
      </c:catAx>
      <c:valAx>
        <c:axId val="77014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91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table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Details!B18</c:f>
              <c:strCache>
                <c:ptCount val="1"/>
                <c:pt idx="0">
                  <c:v>Guests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Details!$A$19:$A$33</c:f>
              <c:strCache>
                <c:ptCount val="15"/>
                <c:pt idx="0">
                  <c:v>Table 1</c:v>
                </c:pt>
                <c:pt idx="1">
                  <c:v>Table 2</c:v>
                </c:pt>
                <c:pt idx="2">
                  <c:v>Table 3</c:v>
                </c:pt>
                <c:pt idx="3">
                  <c:v>Table 4</c:v>
                </c:pt>
                <c:pt idx="4">
                  <c:v>Table 5</c:v>
                </c:pt>
                <c:pt idx="5">
                  <c:v>Table 6</c:v>
                </c:pt>
                <c:pt idx="6">
                  <c:v>Table 7</c:v>
                </c:pt>
                <c:pt idx="7">
                  <c:v>Table 8</c:v>
                </c:pt>
                <c:pt idx="8">
                  <c:v>Table 9</c:v>
                </c:pt>
                <c:pt idx="9">
                  <c:v>Table 10</c:v>
                </c:pt>
                <c:pt idx="10">
                  <c:v>Table 11</c:v>
                </c:pt>
                <c:pt idx="11">
                  <c:v>Table 12</c:v>
                </c:pt>
                <c:pt idx="12">
                  <c:v>Table 13</c:v>
                </c:pt>
                <c:pt idx="13">
                  <c:v>Table 14</c:v>
                </c:pt>
                <c:pt idx="14">
                  <c:v>Table 15</c:v>
                </c:pt>
              </c:strCache>
            </c:strRef>
          </c:cat>
          <c:val>
            <c:numRef>
              <c:f>Details!$B$19:$B$33</c:f>
              <c:numCache>
                <c:formatCode>#,##0;\(#,##0\);\-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71328893"/>
        <c:axId val="13639128"/>
      </c:barChart>
      <c:catAx>
        <c:axId val="713288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39128"/>
        <c:crosses val="autoZero"/>
        <c:auto val="1"/>
        <c:lblAlgn val="ctr"/>
        <c:lblOffset val="100"/>
        <c:noMultiLvlLbl val="0"/>
      </c:catAx>
      <c:valAx>
        <c:axId val="13639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288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4</xdr:col>
      <xdr:colOff>132480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266760" y="24004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70560</xdr:rowOff>
    </xdr:from>
    <xdr:to>
      <xdr:col>12</xdr:col>
      <xdr:colOff>701280</xdr:colOff>
      <xdr:row>26</xdr:row>
      <xdr:rowOff>92880</xdr:rowOff>
    </xdr:to>
    <xdr:graphicFrame>
      <xdr:nvGraphicFramePr>
        <xdr:cNvPr id="1" name="Chart 2"/>
        <xdr:cNvGraphicFramePr/>
      </xdr:nvGraphicFramePr>
      <xdr:xfrm>
        <a:off x="7201080" y="2400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70200</xdr:rowOff>
    </xdr:from>
    <xdr:to>
      <xdr:col>6</xdr:col>
      <xdr:colOff>701280</xdr:colOff>
      <xdr:row>43</xdr:row>
      <xdr:rowOff>92520</xdr:rowOff>
    </xdr:to>
    <xdr:graphicFrame>
      <xdr:nvGraphicFramePr>
        <xdr:cNvPr id="2" name="Chart 3"/>
        <xdr:cNvGraphicFramePr/>
      </xdr:nvGraphicFramePr>
      <xdr:xfrm>
        <a:off x="266760" y="5638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12</v>
      </c>
    </row>
    <row r="3" customFormat="false" ht="15" hidden="false" customHeight="false" outlineLevel="0" collapsed="false">
      <c r="B3" s="6" t="s">
        <v>13</v>
      </c>
    </row>
    <row r="5" customFormat="false" ht="15.75" hidden="false" customHeight="true" outlineLevel="0" collapsed="false">
      <c r="B5" s="7" t="s">
        <v>14</v>
      </c>
      <c r="C5" s="7"/>
      <c r="D5" s="7"/>
      <c r="E5" s="7" t="s">
        <v>15</v>
      </c>
      <c r="F5" s="7"/>
      <c r="G5" s="7"/>
      <c r="H5" s="7" t="s">
        <v>16</v>
      </c>
      <c r="I5" s="7"/>
      <c r="J5" s="7"/>
      <c r="K5" s="7" t="s">
        <v>17</v>
      </c>
      <c r="L5" s="7"/>
      <c r="M5" s="7"/>
    </row>
    <row r="6" customFormat="false" ht="21.75" hidden="false" customHeight="true" outlineLevel="0" collapsed="false">
      <c r="B6" s="8" t="n">
        <f aca="false">Details!B3</f>
        <v>8</v>
      </c>
      <c r="C6" s="8"/>
      <c r="D6" s="8"/>
      <c r="E6" s="8" t="n">
        <f aca="false">Details!B4</f>
        <v>7</v>
      </c>
      <c r="F6" s="8"/>
      <c r="G6" s="8"/>
      <c r="H6" s="9" t="n">
        <f aca="false">Details!B6</f>
        <v>5</v>
      </c>
      <c r="I6" s="9"/>
      <c r="J6" s="9"/>
      <c r="K6" s="8" t="n">
        <f aca="false">Details!B8</f>
        <v>1</v>
      </c>
      <c r="L6" s="8"/>
      <c r="M6" s="8"/>
    </row>
    <row r="7" customFormat="false" ht="12" hidden="false" customHeight="true" outlineLevel="0" collapsed="false">
      <c r="B7" s="8"/>
      <c r="C7" s="8"/>
      <c r="D7" s="8"/>
      <c r="E7" s="8"/>
      <c r="F7" s="8"/>
      <c r="G7" s="8"/>
      <c r="H7" s="9"/>
      <c r="I7" s="9"/>
      <c r="J7" s="9"/>
      <c r="K7" s="8"/>
      <c r="L7" s="8"/>
      <c r="M7" s="8"/>
    </row>
    <row r="9" customFormat="false" ht="15.75" hidden="false" customHeight="true" outlineLevel="0" collapsed="false">
      <c r="B9" s="7" t="s">
        <v>18</v>
      </c>
      <c r="C9" s="7"/>
      <c r="D9" s="7"/>
      <c r="E9" s="7" t="s">
        <v>19</v>
      </c>
      <c r="F9" s="7"/>
      <c r="G9" s="7"/>
    </row>
    <row r="10" customFormat="false" ht="21.75" hidden="false" customHeight="true" outlineLevel="0" collapsed="false">
      <c r="B10" s="8" t="n">
        <f aca="false">Details!B7</f>
        <v>1</v>
      </c>
      <c r="C10" s="8"/>
      <c r="D10" s="8"/>
      <c r="E10" s="10" t="n">
        <f aca="false">Details!B9</f>
        <v>0.857142857142857</v>
      </c>
      <c r="F10" s="10"/>
      <c r="G10" s="10"/>
    </row>
    <row r="11" customFormat="false" ht="12" hidden="false" customHeight="true" outlineLevel="0" collapsed="false">
      <c r="B11" s="8"/>
      <c r="C11" s="8"/>
      <c r="D11" s="8"/>
      <c r="E11" s="10"/>
      <c r="F11" s="10"/>
      <c r="G11" s="10"/>
    </row>
    <row r="13" customFormat="false" ht="15" hidden="false" customHeight="false" outlineLevel="0" collapsed="false">
      <c r="N13" s="11" t="s">
        <v>20</v>
      </c>
    </row>
    <row r="14" customFormat="false" ht="15" hidden="false" customHeight="false" outlineLevel="0" collapsed="false">
      <c r="N14" s="0" t="s">
        <v>21</v>
      </c>
      <c r="O14" s="12" t="n">
        <f aca="false">Details!B6</f>
        <v>5</v>
      </c>
    </row>
    <row r="15" customFormat="false" ht="15" hidden="false" customHeight="false" outlineLevel="0" collapsed="false">
      <c r="N15" s="0" t="s">
        <v>22</v>
      </c>
      <c r="O15" s="12" t="n">
        <f aca="false">Details!B7</f>
        <v>1</v>
      </c>
    </row>
    <row r="16" customFormat="false" ht="15" hidden="false" customHeight="false" outlineLevel="0" collapsed="false">
      <c r="N16" s="0" t="s">
        <v>23</v>
      </c>
      <c r="O16" s="12" t="n">
        <f aca="false">Details!B8</f>
        <v>1</v>
      </c>
    </row>
  </sheetData>
  <mergeCells count="12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B10:D11"/>
    <mergeCell ref="E10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13" t="s">
        <v>24</v>
      </c>
      <c r="B3" s="14" t="n">
        <f aca="false">COUNTA('Guest List'!$A$5:$A$162)</f>
        <v>8</v>
      </c>
    </row>
    <row r="4" customFormat="false" ht="15" hidden="false" customHeight="false" outlineLevel="0" collapsed="false">
      <c r="A4" s="13" t="s">
        <v>25</v>
      </c>
      <c r="B4" s="14" t="n">
        <f aca="false">COUNTIF('Guest List'!$E$5:$E$162,"Y")</f>
        <v>7</v>
      </c>
    </row>
    <row r="5" customFormat="false" ht="15" hidden="false" customHeight="false" outlineLevel="0" collapsed="false">
      <c r="A5" s="13" t="s">
        <v>26</v>
      </c>
      <c r="B5" s="14" t="n">
        <f aca="false">COUNTIF('Guest List'!$F$5:$F$162,"Y")+COUNTIF('Guest List'!$F$5:$F$162,"N")</f>
        <v>6</v>
      </c>
    </row>
    <row r="6" customFormat="false" ht="15" hidden="false" customHeight="false" outlineLevel="0" collapsed="false">
      <c r="A6" s="15" t="s">
        <v>27</v>
      </c>
      <c r="B6" s="16" t="n">
        <f aca="false">COUNTIF('Guest List'!$F$5:$F$162,"Y")</f>
        <v>5</v>
      </c>
    </row>
    <row r="7" customFormat="false" ht="15" hidden="false" customHeight="false" outlineLevel="0" collapsed="false">
      <c r="A7" s="13" t="s">
        <v>22</v>
      </c>
      <c r="B7" s="14" t="n">
        <f aca="false">COUNTIF('Guest List'!$F$5:$F$162,"N")</f>
        <v>1</v>
      </c>
    </row>
    <row r="8" customFormat="false" ht="15" hidden="false" customHeight="false" outlineLevel="0" collapsed="false">
      <c r="A8" s="13" t="s">
        <v>28</v>
      </c>
      <c r="B8" s="14" t="n">
        <f aca="false">COUNTIF('Guest List'!$E$5:$E$162,"Y")-COUNTIF('Guest List'!$F$5:$F$162,"Y")-COUNTIF('Guest List'!$F$5:$F$162,"N")</f>
        <v>1</v>
      </c>
    </row>
    <row r="9" customFormat="false" ht="15" hidden="false" customHeight="false" outlineLevel="0" collapsed="false">
      <c r="A9" s="13" t="s">
        <v>29</v>
      </c>
      <c r="B9" s="17" t="n">
        <f aca="false">IF(COUNTIF('Guest List'!$E$5:$E$162,"Y")=0,0,(COUNTIF('Guest List'!$F$5:$F$162,"Y")+COUNTIF('Guest List'!$F$5:$F$162,"N"))/COUNTIF('Guest List'!$E$5:$E$162,"Y"))</f>
        <v>0.857142857142857</v>
      </c>
    </row>
    <row r="11" customFormat="false" ht="15" hidden="false" customHeight="false" outlineLevel="0" collapsed="false">
      <c r="A11" s="15" t="s">
        <v>30</v>
      </c>
      <c r="B11" s="18" t="s">
        <v>31</v>
      </c>
    </row>
    <row r="12" customFormat="false" ht="15" hidden="false" customHeight="false" outlineLevel="0" collapsed="false">
      <c r="A12" s="13" t="s">
        <v>32</v>
      </c>
      <c r="B12" s="14" t="n">
        <f aca="false">COUNTIFS('Guest List'!$F$5:$F$162,"Y",'Guest List'!$G$5:$G$162,A12)</f>
        <v>2</v>
      </c>
    </row>
    <row r="13" customFormat="false" ht="15" hidden="false" customHeight="false" outlineLevel="0" collapsed="false">
      <c r="A13" s="13" t="s">
        <v>33</v>
      </c>
      <c r="B13" s="14" t="n">
        <f aca="false">COUNTIFS('Guest List'!$F$5:$F$162,"Y",'Guest List'!$G$5:$G$162,A13)</f>
        <v>1</v>
      </c>
    </row>
    <row r="14" customFormat="false" ht="15" hidden="false" customHeight="false" outlineLevel="0" collapsed="false">
      <c r="A14" s="13" t="s">
        <v>34</v>
      </c>
      <c r="B14" s="14" t="n">
        <f aca="false">COUNTIFS('Guest List'!$F$5:$F$162,"Y",'Guest List'!$G$5:$G$162,A14)</f>
        <v>1</v>
      </c>
    </row>
    <row r="15" customFormat="false" ht="15" hidden="false" customHeight="false" outlineLevel="0" collapsed="false">
      <c r="A15" s="13" t="s">
        <v>35</v>
      </c>
      <c r="B15" s="14" t="n">
        <f aca="false">COUNTIFS('Guest List'!$F$5:$F$162,"Y",'Guest List'!$G$5:$G$162,A15)</f>
        <v>1</v>
      </c>
    </row>
    <row r="16" customFormat="false" ht="15" hidden="false" customHeight="false" outlineLevel="0" collapsed="false">
      <c r="A16" s="13" t="s">
        <v>36</v>
      </c>
      <c r="B16" s="14" t="n">
        <f aca="false">COUNTIFS('Guest List'!$F$5:$F$162,"Y",'Guest List'!$G$5:$G$162,A16)</f>
        <v>0</v>
      </c>
    </row>
    <row r="18" customFormat="false" ht="15" hidden="false" customHeight="false" outlineLevel="0" collapsed="false">
      <c r="A18" s="15" t="s">
        <v>37</v>
      </c>
      <c r="B18" s="18" t="s">
        <v>31</v>
      </c>
    </row>
    <row r="19" customFormat="false" ht="15" hidden="false" customHeight="false" outlineLevel="0" collapsed="false">
      <c r="A19" s="13" t="s">
        <v>38</v>
      </c>
      <c r="B19" s="14" t="n">
        <f aca="false">COUNTIFS('Guest List'!$F$5:$F$162,"Y",'Guest List'!$H$5:$H$162,1)</f>
        <v>2</v>
      </c>
    </row>
    <row r="20" customFormat="false" ht="15" hidden="false" customHeight="false" outlineLevel="0" collapsed="false">
      <c r="A20" s="13" t="s">
        <v>39</v>
      </c>
      <c r="B20" s="14" t="n">
        <f aca="false">COUNTIFS('Guest List'!$F$5:$F$162,"Y",'Guest List'!$H$5:$H$162,2)</f>
        <v>1</v>
      </c>
    </row>
    <row r="21" customFormat="false" ht="15" hidden="false" customHeight="false" outlineLevel="0" collapsed="false">
      <c r="A21" s="13" t="s">
        <v>40</v>
      </c>
      <c r="B21" s="14" t="n">
        <f aca="false">COUNTIFS('Guest List'!$F$5:$F$162,"Y",'Guest List'!$H$5:$H$162,3)</f>
        <v>2</v>
      </c>
    </row>
    <row r="22" customFormat="false" ht="15" hidden="false" customHeight="false" outlineLevel="0" collapsed="false">
      <c r="A22" s="13" t="s">
        <v>41</v>
      </c>
      <c r="B22" s="14" t="n">
        <f aca="false">COUNTIFS('Guest List'!$F$5:$F$162,"Y",'Guest List'!$H$5:$H$162,4)</f>
        <v>0</v>
      </c>
    </row>
    <row r="23" customFormat="false" ht="15" hidden="false" customHeight="false" outlineLevel="0" collapsed="false">
      <c r="A23" s="13" t="s">
        <v>42</v>
      </c>
      <c r="B23" s="14" t="n">
        <f aca="false">COUNTIFS('Guest List'!$F$5:$F$162,"Y",'Guest List'!$H$5:$H$162,5)</f>
        <v>0</v>
      </c>
    </row>
    <row r="24" customFormat="false" ht="15" hidden="false" customHeight="false" outlineLevel="0" collapsed="false">
      <c r="A24" s="13" t="s">
        <v>43</v>
      </c>
      <c r="B24" s="14" t="n">
        <f aca="false">COUNTIFS('Guest List'!$F$5:$F$162,"Y",'Guest List'!$H$5:$H$162,6)</f>
        <v>0</v>
      </c>
    </row>
    <row r="25" customFormat="false" ht="15" hidden="false" customHeight="false" outlineLevel="0" collapsed="false">
      <c r="A25" s="13" t="s">
        <v>44</v>
      </c>
      <c r="B25" s="14" t="n">
        <f aca="false">COUNTIFS('Guest List'!$F$5:$F$162,"Y",'Guest List'!$H$5:$H$162,7)</f>
        <v>0</v>
      </c>
    </row>
    <row r="26" customFormat="false" ht="15" hidden="false" customHeight="false" outlineLevel="0" collapsed="false">
      <c r="A26" s="13" t="s">
        <v>45</v>
      </c>
      <c r="B26" s="14" t="n">
        <f aca="false">COUNTIFS('Guest List'!$F$5:$F$162,"Y",'Guest List'!$H$5:$H$162,8)</f>
        <v>0</v>
      </c>
    </row>
    <row r="27" customFormat="false" ht="15" hidden="false" customHeight="false" outlineLevel="0" collapsed="false">
      <c r="A27" s="13" t="s">
        <v>46</v>
      </c>
      <c r="B27" s="14" t="n">
        <f aca="false">COUNTIFS('Guest List'!$F$5:$F$162,"Y",'Guest List'!$H$5:$H$162,9)</f>
        <v>0</v>
      </c>
    </row>
    <row r="28" customFormat="false" ht="15" hidden="false" customHeight="false" outlineLevel="0" collapsed="false">
      <c r="A28" s="13" t="s">
        <v>47</v>
      </c>
      <c r="B28" s="14" t="n">
        <f aca="false">COUNTIFS('Guest List'!$F$5:$F$162,"Y",'Guest List'!$H$5:$H$162,10)</f>
        <v>0</v>
      </c>
    </row>
    <row r="29" customFormat="false" ht="15" hidden="false" customHeight="false" outlineLevel="0" collapsed="false">
      <c r="A29" s="13" t="s">
        <v>48</v>
      </c>
      <c r="B29" s="14" t="n">
        <f aca="false">COUNTIFS('Guest List'!$F$5:$F$162,"Y",'Guest List'!$H$5:$H$162,11)</f>
        <v>0</v>
      </c>
    </row>
    <row r="30" customFormat="false" ht="15" hidden="false" customHeight="false" outlineLevel="0" collapsed="false">
      <c r="A30" s="13" t="s">
        <v>49</v>
      </c>
      <c r="B30" s="14" t="n">
        <f aca="false">COUNTIFS('Guest List'!$F$5:$F$162,"Y",'Guest List'!$H$5:$H$162,12)</f>
        <v>0</v>
      </c>
    </row>
    <row r="31" customFormat="false" ht="15" hidden="false" customHeight="false" outlineLevel="0" collapsed="false">
      <c r="A31" s="13" t="s">
        <v>50</v>
      </c>
      <c r="B31" s="14" t="n">
        <f aca="false">COUNTIFS('Guest List'!$F$5:$F$162,"Y",'Guest List'!$H$5:$H$162,13)</f>
        <v>0</v>
      </c>
    </row>
    <row r="32" customFormat="false" ht="15" hidden="false" customHeight="false" outlineLevel="0" collapsed="false">
      <c r="A32" s="13" t="s">
        <v>51</v>
      </c>
      <c r="B32" s="14" t="n">
        <f aca="false">COUNTIFS('Guest List'!$F$5:$F$162,"Y",'Guest List'!$H$5:$H$162,14)</f>
        <v>0</v>
      </c>
    </row>
    <row r="33" customFormat="false" ht="15" hidden="false" customHeight="false" outlineLevel="0" collapsed="false">
      <c r="A33" s="13" t="s">
        <v>52</v>
      </c>
      <c r="B33" s="14" t="n">
        <f aca="false">COUNTIFS('Guest List'!$F$5:$F$162,"Y",'Guest List'!$H$5:$H$162,15)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18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19" t="s">
        <v>38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</row>
    <row r="5" customFormat="false" ht="15" hidden="false" customHeight="false" outlineLevel="0" collapsed="false">
      <c r="A5" s="20" t="str">
        <f aca="false">IFERROR(INDEX('Guest List'!$A$5:$A$162,MATCH("1-1",'Guest List'!$K$5:$K$162,0)),"")</f>
        <v>Maria Lopez</v>
      </c>
      <c r="B5" s="20" t="str">
        <f aca="false">IFERROR(INDEX('Guest List'!$A$5:$A$162,MATCH("2-1",'Guest List'!$K$5:$K$162,0)),"")</f>
        <v>Grace Kim</v>
      </c>
      <c r="C5" s="20" t="str">
        <f aca="false">IFERROR(INDEX('Guest List'!$A$5:$A$162,MATCH("3-1",'Guest List'!$K$5:$K$162,0)),"")</f>
        <v>Sam Patel</v>
      </c>
      <c r="D5" s="20" t="str">
        <f aca="false">IFERROR(INDEX('Guest List'!$A$5:$A$162,MATCH("4-1",'Guest List'!$K$5:$K$162,0)),"")</f>
        <v/>
      </c>
      <c r="E5" s="20" t="str">
        <f aca="false">IFERROR(INDEX('Guest List'!$A$5:$A$162,MATCH("5-1",'Guest List'!$K$5:$K$162,0)),"")</f>
        <v/>
      </c>
      <c r="F5" s="20" t="str">
        <f aca="false">IFERROR(INDEX('Guest List'!$A$5:$A$162,MATCH("6-1",'Guest List'!$K$5:$K$162,0)),"")</f>
        <v/>
      </c>
      <c r="G5" s="20" t="str">
        <f aca="false">IFERROR(INDEX('Guest List'!$A$5:$A$162,MATCH("7-1",'Guest List'!$K$5:$K$162,0)),"")</f>
        <v/>
      </c>
      <c r="H5" s="20" t="str">
        <f aca="false">IFERROR(INDEX('Guest List'!$A$5:$A$162,MATCH("8-1",'Guest List'!$K$5:$K$162,0)),"")</f>
        <v/>
      </c>
      <c r="I5" s="20" t="str">
        <f aca="false">IFERROR(INDEX('Guest List'!$A$5:$A$162,MATCH("9-1",'Guest List'!$K$5:$K$162,0)),"")</f>
        <v/>
      </c>
      <c r="J5" s="20" t="str">
        <f aca="false">IFERROR(INDEX('Guest List'!$A$5:$A$162,MATCH("10-1",'Guest List'!$K$5:$K$162,0)),"")</f>
        <v/>
      </c>
    </row>
    <row r="6" customFormat="false" ht="15" hidden="false" customHeight="false" outlineLevel="0" collapsed="false">
      <c r="A6" s="20" t="str">
        <f aca="false">IFERROR(INDEX('Guest List'!$A$5:$A$162,MATCH("1-2",'Guest List'!$K$5:$K$162,0)),"")</f>
        <v>Daniel Lopez</v>
      </c>
      <c r="B6" s="20" t="str">
        <f aca="false">IFERROR(INDEX('Guest List'!$A$5:$A$162,MATCH("2-2",'Guest List'!$K$5:$K$162,0)),"")</f>
        <v/>
      </c>
      <c r="C6" s="20" t="str">
        <f aca="false">IFERROR(INDEX('Guest List'!$A$5:$A$162,MATCH("3-2",'Guest List'!$K$5:$K$162,0)),"")</f>
        <v>Nina Patel</v>
      </c>
      <c r="D6" s="20" t="str">
        <f aca="false">IFERROR(INDEX('Guest List'!$A$5:$A$162,MATCH("4-2",'Guest List'!$K$5:$K$162,0)),"")</f>
        <v/>
      </c>
      <c r="E6" s="20" t="str">
        <f aca="false">IFERROR(INDEX('Guest List'!$A$5:$A$162,MATCH("5-2",'Guest List'!$K$5:$K$162,0)),"")</f>
        <v/>
      </c>
      <c r="F6" s="20" t="str">
        <f aca="false">IFERROR(INDEX('Guest List'!$A$5:$A$162,MATCH("6-2",'Guest List'!$K$5:$K$162,0)),"")</f>
        <v/>
      </c>
      <c r="G6" s="20" t="str">
        <f aca="false">IFERROR(INDEX('Guest List'!$A$5:$A$162,MATCH("7-2",'Guest List'!$K$5:$K$162,0)),"")</f>
        <v/>
      </c>
      <c r="H6" s="20" t="str">
        <f aca="false">IFERROR(INDEX('Guest List'!$A$5:$A$162,MATCH("8-2",'Guest List'!$K$5:$K$162,0)),"")</f>
        <v/>
      </c>
      <c r="I6" s="20" t="str">
        <f aca="false">IFERROR(INDEX('Guest List'!$A$5:$A$162,MATCH("9-2",'Guest List'!$K$5:$K$162,0)),"")</f>
        <v/>
      </c>
      <c r="J6" s="20" t="str">
        <f aca="false">IFERROR(INDEX('Guest List'!$A$5:$A$162,MATCH("10-2",'Guest List'!$K$5:$K$162,0)),"")</f>
        <v/>
      </c>
    </row>
    <row r="7" customFormat="false" ht="15" hidden="false" customHeight="false" outlineLevel="0" collapsed="false">
      <c r="A7" s="20" t="str">
        <f aca="false">IFERROR(INDEX('Guest List'!$A$5:$A$162,MATCH("1-3",'Guest List'!$K$5:$K$162,0)),"")</f>
        <v/>
      </c>
      <c r="B7" s="20" t="str">
        <f aca="false">IFERROR(INDEX('Guest List'!$A$5:$A$162,MATCH("2-3",'Guest List'!$K$5:$K$162,0)),"")</f>
        <v/>
      </c>
      <c r="C7" s="20" t="str">
        <f aca="false">IFERROR(INDEX('Guest List'!$A$5:$A$162,MATCH("3-3",'Guest List'!$K$5:$K$162,0)),"")</f>
        <v/>
      </c>
      <c r="D7" s="20" t="str">
        <f aca="false">IFERROR(INDEX('Guest List'!$A$5:$A$162,MATCH("4-3",'Guest List'!$K$5:$K$162,0)),"")</f>
        <v/>
      </c>
      <c r="E7" s="20" t="str">
        <f aca="false">IFERROR(INDEX('Guest List'!$A$5:$A$162,MATCH("5-3",'Guest List'!$K$5:$K$162,0)),"")</f>
        <v/>
      </c>
      <c r="F7" s="20" t="str">
        <f aca="false">IFERROR(INDEX('Guest List'!$A$5:$A$162,MATCH("6-3",'Guest List'!$K$5:$K$162,0)),"")</f>
        <v/>
      </c>
      <c r="G7" s="20" t="str">
        <f aca="false">IFERROR(INDEX('Guest List'!$A$5:$A$162,MATCH("7-3",'Guest List'!$K$5:$K$162,0)),"")</f>
        <v/>
      </c>
      <c r="H7" s="20" t="str">
        <f aca="false">IFERROR(INDEX('Guest List'!$A$5:$A$162,MATCH("8-3",'Guest List'!$K$5:$K$162,0)),"")</f>
        <v/>
      </c>
      <c r="I7" s="20" t="str">
        <f aca="false">IFERROR(INDEX('Guest List'!$A$5:$A$162,MATCH("9-3",'Guest List'!$K$5:$K$162,0)),"")</f>
        <v/>
      </c>
      <c r="J7" s="20" t="str">
        <f aca="false">IFERROR(INDEX('Guest List'!$A$5:$A$162,MATCH("10-3",'Guest List'!$K$5:$K$162,0)),"")</f>
        <v/>
      </c>
    </row>
    <row r="8" customFormat="false" ht="15" hidden="false" customHeight="false" outlineLevel="0" collapsed="false">
      <c r="A8" s="20" t="str">
        <f aca="false">IFERROR(INDEX('Guest List'!$A$5:$A$162,MATCH("1-4",'Guest List'!$K$5:$K$162,0)),"")</f>
        <v/>
      </c>
      <c r="B8" s="20" t="str">
        <f aca="false">IFERROR(INDEX('Guest List'!$A$5:$A$162,MATCH("2-4",'Guest List'!$K$5:$K$162,0)),"")</f>
        <v/>
      </c>
      <c r="C8" s="20" t="str">
        <f aca="false">IFERROR(INDEX('Guest List'!$A$5:$A$162,MATCH("3-4",'Guest List'!$K$5:$K$162,0)),"")</f>
        <v/>
      </c>
      <c r="D8" s="20" t="str">
        <f aca="false">IFERROR(INDEX('Guest List'!$A$5:$A$162,MATCH("4-4",'Guest List'!$K$5:$K$162,0)),"")</f>
        <v/>
      </c>
      <c r="E8" s="20" t="str">
        <f aca="false">IFERROR(INDEX('Guest List'!$A$5:$A$162,MATCH("5-4",'Guest List'!$K$5:$K$162,0)),"")</f>
        <v/>
      </c>
      <c r="F8" s="20" t="str">
        <f aca="false">IFERROR(INDEX('Guest List'!$A$5:$A$162,MATCH("6-4",'Guest List'!$K$5:$K$162,0)),"")</f>
        <v/>
      </c>
      <c r="G8" s="20" t="str">
        <f aca="false">IFERROR(INDEX('Guest List'!$A$5:$A$162,MATCH("7-4",'Guest List'!$K$5:$K$162,0)),"")</f>
        <v/>
      </c>
      <c r="H8" s="20" t="str">
        <f aca="false">IFERROR(INDEX('Guest List'!$A$5:$A$162,MATCH("8-4",'Guest List'!$K$5:$K$162,0)),"")</f>
        <v/>
      </c>
      <c r="I8" s="20" t="str">
        <f aca="false">IFERROR(INDEX('Guest List'!$A$5:$A$162,MATCH("9-4",'Guest List'!$K$5:$K$162,0)),"")</f>
        <v/>
      </c>
      <c r="J8" s="20" t="str">
        <f aca="false">IFERROR(INDEX('Guest List'!$A$5:$A$162,MATCH("10-4",'Guest List'!$K$5:$K$162,0)),"")</f>
        <v/>
      </c>
    </row>
    <row r="9" customFormat="false" ht="15" hidden="false" customHeight="false" outlineLevel="0" collapsed="false">
      <c r="A9" s="20" t="str">
        <f aca="false">IFERROR(INDEX('Guest List'!$A$5:$A$162,MATCH("1-5",'Guest List'!$K$5:$K$162,0)),"")</f>
        <v/>
      </c>
      <c r="B9" s="20" t="str">
        <f aca="false">IFERROR(INDEX('Guest List'!$A$5:$A$162,MATCH("2-5",'Guest List'!$K$5:$K$162,0)),"")</f>
        <v/>
      </c>
      <c r="C9" s="20" t="str">
        <f aca="false">IFERROR(INDEX('Guest List'!$A$5:$A$162,MATCH("3-5",'Guest List'!$K$5:$K$162,0)),"")</f>
        <v/>
      </c>
      <c r="D9" s="20" t="str">
        <f aca="false">IFERROR(INDEX('Guest List'!$A$5:$A$162,MATCH("4-5",'Guest List'!$K$5:$K$162,0)),"")</f>
        <v/>
      </c>
      <c r="E9" s="20" t="str">
        <f aca="false">IFERROR(INDEX('Guest List'!$A$5:$A$162,MATCH("5-5",'Guest List'!$K$5:$K$162,0)),"")</f>
        <v/>
      </c>
      <c r="F9" s="20" t="str">
        <f aca="false">IFERROR(INDEX('Guest List'!$A$5:$A$162,MATCH("6-5",'Guest List'!$K$5:$K$162,0)),"")</f>
        <v/>
      </c>
      <c r="G9" s="20" t="str">
        <f aca="false">IFERROR(INDEX('Guest List'!$A$5:$A$162,MATCH("7-5",'Guest List'!$K$5:$K$162,0)),"")</f>
        <v/>
      </c>
      <c r="H9" s="20" t="str">
        <f aca="false">IFERROR(INDEX('Guest List'!$A$5:$A$162,MATCH("8-5",'Guest List'!$K$5:$K$162,0)),"")</f>
        <v/>
      </c>
      <c r="I9" s="20" t="str">
        <f aca="false">IFERROR(INDEX('Guest List'!$A$5:$A$162,MATCH("9-5",'Guest List'!$K$5:$K$162,0)),"")</f>
        <v/>
      </c>
      <c r="J9" s="20" t="str">
        <f aca="false">IFERROR(INDEX('Guest List'!$A$5:$A$162,MATCH("10-5",'Guest List'!$K$5:$K$162,0)),"")</f>
        <v/>
      </c>
    </row>
    <row r="10" customFormat="false" ht="15" hidden="false" customHeight="false" outlineLevel="0" collapsed="false">
      <c r="A10" s="20" t="str">
        <f aca="false">IFERROR(INDEX('Guest List'!$A$5:$A$162,MATCH("1-6",'Guest List'!$K$5:$K$162,0)),"")</f>
        <v/>
      </c>
      <c r="B10" s="20" t="str">
        <f aca="false">IFERROR(INDEX('Guest List'!$A$5:$A$162,MATCH("2-6",'Guest List'!$K$5:$K$162,0)),"")</f>
        <v/>
      </c>
      <c r="C10" s="20" t="str">
        <f aca="false">IFERROR(INDEX('Guest List'!$A$5:$A$162,MATCH("3-6",'Guest List'!$K$5:$K$162,0)),"")</f>
        <v/>
      </c>
      <c r="D10" s="20" t="str">
        <f aca="false">IFERROR(INDEX('Guest List'!$A$5:$A$162,MATCH("4-6",'Guest List'!$K$5:$K$162,0)),"")</f>
        <v/>
      </c>
      <c r="E10" s="20" t="str">
        <f aca="false">IFERROR(INDEX('Guest List'!$A$5:$A$162,MATCH("5-6",'Guest List'!$K$5:$K$162,0)),"")</f>
        <v/>
      </c>
      <c r="F10" s="20" t="str">
        <f aca="false">IFERROR(INDEX('Guest List'!$A$5:$A$162,MATCH("6-6",'Guest List'!$K$5:$K$162,0)),"")</f>
        <v/>
      </c>
      <c r="G10" s="20" t="str">
        <f aca="false">IFERROR(INDEX('Guest List'!$A$5:$A$162,MATCH("7-6",'Guest List'!$K$5:$K$162,0)),"")</f>
        <v/>
      </c>
      <c r="H10" s="20" t="str">
        <f aca="false">IFERROR(INDEX('Guest List'!$A$5:$A$162,MATCH("8-6",'Guest List'!$K$5:$K$162,0)),"")</f>
        <v/>
      </c>
      <c r="I10" s="20" t="str">
        <f aca="false">IFERROR(INDEX('Guest List'!$A$5:$A$162,MATCH("9-6",'Guest List'!$K$5:$K$162,0)),"")</f>
        <v/>
      </c>
      <c r="J10" s="20" t="str">
        <f aca="false">IFERROR(INDEX('Guest List'!$A$5:$A$162,MATCH("10-6",'Guest List'!$K$5:$K$162,0)),"")</f>
        <v/>
      </c>
    </row>
    <row r="11" customFormat="false" ht="15" hidden="false" customHeight="false" outlineLevel="0" collapsed="false">
      <c r="A11" s="20" t="str">
        <f aca="false">IFERROR(INDEX('Guest List'!$A$5:$A$162,MATCH("1-7",'Guest List'!$K$5:$K$162,0)),"")</f>
        <v/>
      </c>
      <c r="B11" s="20" t="str">
        <f aca="false">IFERROR(INDEX('Guest List'!$A$5:$A$162,MATCH("2-7",'Guest List'!$K$5:$K$162,0)),"")</f>
        <v/>
      </c>
      <c r="C11" s="20" t="str">
        <f aca="false">IFERROR(INDEX('Guest List'!$A$5:$A$162,MATCH("3-7",'Guest List'!$K$5:$K$162,0)),"")</f>
        <v/>
      </c>
      <c r="D11" s="20" t="str">
        <f aca="false">IFERROR(INDEX('Guest List'!$A$5:$A$162,MATCH("4-7",'Guest List'!$K$5:$K$162,0)),"")</f>
        <v/>
      </c>
      <c r="E11" s="20" t="str">
        <f aca="false">IFERROR(INDEX('Guest List'!$A$5:$A$162,MATCH("5-7",'Guest List'!$K$5:$K$162,0)),"")</f>
        <v/>
      </c>
      <c r="F11" s="20" t="str">
        <f aca="false">IFERROR(INDEX('Guest List'!$A$5:$A$162,MATCH("6-7",'Guest List'!$K$5:$K$162,0)),"")</f>
        <v/>
      </c>
      <c r="G11" s="20" t="str">
        <f aca="false">IFERROR(INDEX('Guest List'!$A$5:$A$162,MATCH("7-7",'Guest List'!$K$5:$K$162,0)),"")</f>
        <v/>
      </c>
      <c r="H11" s="20" t="str">
        <f aca="false">IFERROR(INDEX('Guest List'!$A$5:$A$162,MATCH("8-7",'Guest List'!$K$5:$K$162,0)),"")</f>
        <v/>
      </c>
      <c r="I11" s="20" t="str">
        <f aca="false">IFERROR(INDEX('Guest List'!$A$5:$A$162,MATCH("9-7",'Guest List'!$K$5:$K$162,0)),"")</f>
        <v/>
      </c>
      <c r="J11" s="20" t="str">
        <f aca="false">IFERROR(INDEX('Guest List'!$A$5:$A$162,MATCH("10-7",'Guest List'!$K$5:$K$162,0)),"")</f>
        <v/>
      </c>
    </row>
    <row r="12" customFormat="false" ht="15" hidden="false" customHeight="false" outlineLevel="0" collapsed="false">
      <c r="A12" s="20" t="str">
        <f aca="false">IFERROR(INDEX('Guest List'!$A$5:$A$162,MATCH("1-8",'Guest List'!$K$5:$K$162,0)),"")</f>
        <v/>
      </c>
      <c r="B12" s="20" t="str">
        <f aca="false">IFERROR(INDEX('Guest List'!$A$5:$A$162,MATCH("2-8",'Guest List'!$K$5:$K$162,0)),"")</f>
        <v/>
      </c>
      <c r="C12" s="20" t="str">
        <f aca="false">IFERROR(INDEX('Guest List'!$A$5:$A$162,MATCH("3-8",'Guest List'!$K$5:$K$162,0)),"")</f>
        <v/>
      </c>
      <c r="D12" s="20" t="str">
        <f aca="false">IFERROR(INDEX('Guest List'!$A$5:$A$162,MATCH("4-8",'Guest List'!$K$5:$K$162,0)),"")</f>
        <v/>
      </c>
      <c r="E12" s="20" t="str">
        <f aca="false">IFERROR(INDEX('Guest List'!$A$5:$A$162,MATCH("5-8",'Guest List'!$K$5:$K$162,0)),"")</f>
        <v/>
      </c>
      <c r="F12" s="20" t="str">
        <f aca="false">IFERROR(INDEX('Guest List'!$A$5:$A$162,MATCH("6-8",'Guest List'!$K$5:$K$162,0)),"")</f>
        <v/>
      </c>
      <c r="G12" s="20" t="str">
        <f aca="false">IFERROR(INDEX('Guest List'!$A$5:$A$162,MATCH("7-8",'Guest List'!$K$5:$K$162,0)),"")</f>
        <v/>
      </c>
      <c r="H12" s="20" t="str">
        <f aca="false">IFERROR(INDEX('Guest List'!$A$5:$A$162,MATCH("8-8",'Guest List'!$K$5:$K$162,0)),"")</f>
        <v/>
      </c>
      <c r="I12" s="20" t="str">
        <f aca="false">IFERROR(INDEX('Guest List'!$A$5:$A$162,MATCH("9-8",'Guest List'!$K$5:$K$162,0)),"")</f>
        <v/>
      </c>
      <c r="J12" s="20" t="str">
        <f aca="false">IFERROR(INDEX('Guest List'!$A$5:$A$162,MATCH("10-8",'Guest List'!$K$5:$K$162,0)),"")</f>
        <v/>
      </c>
    </row>
    <row r="13" customFormat="false" ht="15" hidden="false" customHeight="false" outlineLevel="0" collapsed="false">
      <c r="A13" s="20" t="str">
        <f aca="false">IFERROR(INDEX('Guest List'!$A$5:$A$162,MATCH("1-9",'Guest List'!$K$5:$K$162,0)),"")</f>
        <v/>
      </c>
      <c r="B13" s="20" t="str">
        <f aca="false">IFERROR(INDEX('Guest List'!$A$5:$A$162,MATCH("2-9",'Guest List'!$K$5:$K$162,0)),"")</f>
        <v/>
      </c>
      <c r="C13" s="20" t="str">
        <f aca="false">IFERROR(INDEX('Guest List'!$A$5:$A$162,MATCH("3-9",'Guest List'!$K$5:$K$162,0)),"")</f>
        <v/>
      </c>
      <c r="D13" s="20" t="str">
        <f aca="false">IFERROR(INDEX('Guest List'!$A$5:$A$162,MATCH("4-9",'Guest List'!$K$5:$K$162,0)),"")</f>
        <v/>
      </c>
      <c r="E13" s="20" t="str">
        <f aca="false">IFERROR(INDEX('Guest List'!$A$5:$A$162,MATCH("5-9",'Guest List'!$K$5:$K$162,0)),"")</f>
        <v/>
      </c>
      <c r="F13" s="20" t="str">
        <f aca="false">IFERROR(INDEX('Guest List'!$A$5:$A$162,MATCH("6-9",'Guest List'!$K$5:$K$162,0)),"")</f>
        <v/>
      </c>
      <c r="G13" s="20" t="str">
        <f aca="false">IFERROR(INDEX('Guest List'!$A$5:$A$162,MATCH("7-9",'Guest List'!$K$5:$K$162,0)),"")</f>
        <v/>
      </c>
      <c r="H13" s="20" t="str">
        <f aca="false">IFERROR(INDEX('Guest List'!$A$5:$A$162,MATCH("8-9",'Guest List'!$K$5:$K$162,0)),"")</f>
        <v/>
      </c>
      <c r="I13" s="20" t="str">
        <f aca="false">IFERROR(INDEX('Guest List'!$A$5:$A$162,MATCH("9-9",'Guest List'!$K$5:$K$162,0)),"")</f>
        <v/>
      </c>
      <c r="J13" s="20" t="str">
        <f aca="false">IFERROR(INDEX('Guest List'!$A$5:$A$162,MATCH("10-9",'Guest List'!$K$5:$K$162,0)),"")</f>
        <v/>
      </c>
    </row>
    <row r="14" customFormat="false" ht="15" hidden="false" customHeight="false" outlineLevel="0" collapsed="false">
      <c r="A14" s="20" t="str">
        <f aca="false">IFERROR(INDEX('Guest List'!$A$5:$A$162,MATCH("1-10",'Guest List'!$K$5:$K$162,0)),"")</f>
        <v/>
      </c>
      <c r="B14" s="20" t="str">
        <f aca="false">IFERROR(INDEX('Guest List'!$A$5:$A$162,MATCH("2-10",'Guest List'!$K$5:$K$162,0)),"")</f>
        <v/>
      </c>
      <c r="C14" s="20" t="str">
        <f aca="false">IFERROR(INDEX('Guest List'!$A$5:$A$162,MATCH("3-10",'Guest List'!$K$5:$K$162,0)),"")</f>
        <v/>
      </c>
      <c r="D14" s="20" t="str">
        <f aca="false">IFERROR(INDEX('Guest List'!$A$5:$A$162,MATCH("4-10",'Guest List'!$K$5:$K$162,0)),"")</f>
        <v/>
      </c>
      <c r="E14" s="20" t="str">
        <f aca="false">IFERROR(INDEX('Guest List'!$A$5:$A$162,MATCH("5-10",'Guest List'!$K$5:$K$162,0)),"")</f>
        <v/>
      </c>
      <c r="F14" s="20" t="str">
        <f aca="false">IFERROR(INDEX('Guest List'!$A$5:$A$162,MATCH("6-10",'Guest List'!$K$5:$K$162,0)),"")</f>
        <v/>
      </c>
      <c r="G14" s="20" t="str">
        <f aca="false">IFERROR(INDEX('Guest List'!$A$5:$A$162,MATCH("7-10",'Guest List'!$K$5:$K$162,0)),"")</f>
        <v/>
      </c>
      <c r="H14" s="20" t="str">
        <f aca="false">IFERROR(INDEX('Guest List'!$A$5:$A$162,MATCH("8-10",'Guest List'!$K$5:$K$162,0)),"")</f>
        <v/>
      </c>
      <c r="I14" s="20" t="str">
        <f aca="false">IFERROR(INDEX('Guest List'!$A$5:$A$162,MATCH("9-10",'Guest List'!$K$5:$K$162,0)),"")</f>
        <v/>
      </c>
      <c r="J14" s="20" t="str">
        <f aca="false">IFERROR(INDEX('Guest List'!$A$5:$A$162,MATCH("10-10",'Guest List'!$K$5:$K$162,0)),"")</f>
        <v/>
      </c>
    </row>
    <row r="16" customFormat="false" ht="32.8" hidden="false" customHeight="false" outlineLevel="0" collapsed="false">
      <c r="A16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20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2" t="s">
        <v>57</v>
      </c>
    </row>
    <row r="4" customFormat="false" ht="30" hidden="false" customHeight="true" outlineLevel="0" collapsed="false">
      <c r="A4" s="19" t="s">
        <v>58</v>
      </c>
      <c r="B4" s="19" t="s">
        <v>59</v>
      </c>
      <c r="C4" s="19" t="s">
        <v>60</v>
      </c>
      <c r="D4" s="19" t="s">
        <v>61</v>
      </c>
      <c r="E4" s="19" t="s">
        <v>62</v>
      </c>
      <c r="F4" s="19" t="s">
        <v>63</v>
      </c>
      <c r="G4" s="19" t="s">
        <v>64</v>
      </c>
      <c r="H4" s="19" t="s">
        <v>65</v>
      </c>
      <c r="I4" s="19" t="s">
        <v>66</v>
      </c>
      <c r="J4" s="19" t="s">
        <v>67</v>
      </c>
      <c r="K4" s="19" t="s">
        <v>68</v>
      </c>
    </row>
    <row r="5" customFormat="false" ht="15" hidden="false" customHeight="false" outlineLevel="0" collapsed="false">
      <c r="A5" s="21" t="s">
        <v>69</v>
      </c>
      <c r="B5" s="21" t="s">
        <v>70</v>
      </c>
      <c r="C5" s="21" t="s">
        <v>71</v>
      </c>
      <c r="D5" s="21"/>
      <c r="E5" s="21" t="s">
        <v>72</v>
      </c>
      <c r="F5" s="21" t="s">
        <v>72</v>
      </c>
      <c r="G5" s="21" t="s">
        <v>32</v>
      </c>
      <c r="H5" s="22" t="n">
        <v>1</v>
      </c>
      <c r="I5" s="21"/>
      <c r="J5" s="21"/>
      <c r="K5" s="13" t="str">
        <f aca="false">IF(AND(H5&lt;&gt;"",F5="Y"),H5&amp;"-"&amp;COUNTIFS($H$5:H5,H5,$F$5:F5,"Y"),"")</f>
        <v>1-1</v>
      </c>
    </row>
    <row r="6" customFormat="false" ht="15" hidden="false" customHeight="false" outlineLevel="0" collapsed="false">
      <c r="A6" s="21" t="s">
        <v>73</v>
      </c>
      <c r="B6" s="21" t="s">
        <v>70</v>
      </c>
      <c r="C6" s="21" t="s">
        <v>71</v>
      </c>
      <c r="D6" s="21"/>
      <c r="E6" s="21" t="s">
        <v>72</v>
      </c>
      <c r="F6" s="21" t="s">
        <v>72</v>
      </c>
      <c r="G6" s="21" t="s">
        <v>33</v>
      </c>
      <c r="H6" s="22" t="n">
        <v>1</v>
      </c>
      <c r="I6" s="21"/>
      <c r="J6" s="21"/>
      <c r="K6" s="13" t="str">
        <f aca="false">IF(AND(H6&lt;&gt;"",F6="Y"),H6&amp;"-"&amp;COUNTIFS($H$5:H6,H6,$F$5:F6,"Y"),"")</f>
        <v>1-2</v>
      </c>
    </row>
    <row r="7" customFormat="false" ht="15" hidden="false" customHeight="false" outlineLevel="0" collapsed="false">
      <c r="A7" s="21" t="s">
        <v>74</v>
      </c>
      <c r="B7" s="21" t="s">
        <v>75</v>
      </c>
      <c r="C7" s="21" t="s">
        <v>71</v>
      </c>
      <c r="D7" s="21"/>
      <c r="E7" s="21" t="s">
        <v>72</v>
      </c>
      <c r="F7" s="21" t="s">
        <v>72</v>
      </c>
      <c r="G7" s="21" t="s">
        <v>35</v>
      </c>
      <c r="H7" s="22" t="n">
        <v>2</v>
      </c>
      <c r="I7" s="21"/>
      <c r="J7" s="21"/>
      <c r="K7" s="13" t="str">
        <f aca="false">IF(AND(H7&lt;&gt;"",F7="Y"),H7&amp;"-"&amp;COUNTIFS($H$5:H7,H7,$F$5:F7,"Y"),"")</f>
        <v>2-1</v>
      </c>
    </row>
    <row r="8" customFormat="false" ht="15" hidden="false" customHeight="false" outlineLevel="0" collapsed="false">
      <c r="A8" s="21" t="s">
        <v>76</v>
      </c>
      <c r="B8" s="21" t="s">
        <v>77</v>
      </c>
      <c r="C8" s="21" t="s">
        <v>78</v>
      </c>
      <c r="D8" s="21"/>
      <c r="E8" s="21" t="s">
        <v>72</v>
      </c>
      <c r="F8" s="21" t="s">
        <v>79</v>
      </c>
      <c r="G8" s="21"/>
      <c r="H8" s="22"/>
      <c r="I8" s="21"/>
      <c r="J8" s="21"/>
      <c r="K8" s="13" t="str">
        <f aca="false">IF(AND(H8&lt;&gt;"",F8="Y"),H8&amp;"-"&amp;COUNTIFS($H$5:H8,H8,$F$5:F8,"Y"),"")</f>
        <v/>
      </c>
    </row>
    <row r="9" customFormat="false" ht="15" hidden="false" customHeight="false" outlineLevel="0" collapsed="false">
      <c r="A9" s="21" t="s">
        <v>80</v>
      </c>
      <c r="B9" s="21" t="s">
        <v>81</v>
      </c>
      <c r="C9" s="21" t="s">
        <v>78</v>
      </c>
      <c r="D9" s="21"/>
      <c r="E9" s="21" t="s">
        <v>72</v>
      </c>
      <c r="F9" s="21"/>
      <c r="G9" s="21"/>
      <c r="H9" s="22" t="n">
        <v>3</v>
      </c>
      <c r="I9" s="21"/>
      <c r="J9" s="21"/>
      <c r="K9" s="13" t="str">
        <f aca="false">IF(AND(H9&lt;&gt;"",F9="Y"),H9&amp;"-"&amp;COUNTIFS($H$5:H9,H9,$F$5:F9,"Y"),"")</f>
        <v/>
      </c>
    </row>
    <row r="10" customFormat="false" ht="15" hidden="false" customHeight="false" outlineLevel="0" collapsed="false">
      <c r="A10" s="21" t="s">
        <v>82</v>
      </c>
      <c r="B10" s="21" t="s">
        <v>83</v>
      </c>
      <c r="C10" s="21" t="s">
        <v>78</v>
      </c>
      <c r="D10" s="21"/>
      <c r="E10" s="21" t="s">
        <v>72</v>
      </c>
      <c r="F10" s="21" t="s">
        <v>72</v>
      </c>
      <c r="G10" s="21" t="s">
        <v>32</v>
      </c>
      <c r="H10" s="22" t="n">
        <v>3</v>
      </c>
      <c r="I10" s="21"/>
      <c r="J10" s="21"/>
      <c r="K10" s="13" t="str">
        <f aca="false">IF(AND(H10&lt;&gt;"",F10="Y"),H10&amp;"-"&amp;COUNTIFS($H$5:H10,H10,$F$5:F10,"Y"),"")</f>
        <v>3-1</v>
      </c>
    </row>
    <row r="11" customFormat="false" ht="15" hidden="false" customHeight="false" outlineLevel="0" collapsed="false">
      <c r="A11" s="21" t="s">
        <v>84</v>
      </c>
      <c r="B11" s="21" t="s">
        <v>83</v>
      </c>
      <c r="C11" s="21" t="s">
        <v>78</v>
      </c>
      <c r="D11" s="21"/>
      <c r="E11" s="21" t="s">
        <v>72</v>
      </c>
      <c r="F11" s="21" t="s">
        <v>72</v>
      </c>
      <c r="G11" s="21" t="s">
        <v>34</v>
      </c>
      <c r="H11" s="22" t="n">
        <v>3</v>
      </c>
      <c r="I11" s="21"/>
      <c r="J11" s="21"/>
      <c r="K11" s="13" t="str">
        <f aca="false">IF(AND(H11&lt;&gt;"",F11="Y"),H11&amp;"-"&amp;COUNTIFS($H$5:H11,H11,$F$5:F11,"Y"),"")</f>
        <v>3-2</v>
      </c>
    </row>
    <row r="12" customFormat="false" ht="15" hidden="false" customHeight="false" outlineLevel="0" collapsed="false">
      <c r="A12" s="21" t="s">
        <v>85</v>
      </c>
      <c r="B12" s="21" t="s">
        <v>86</v>
      </c>
      <c r="C12" s="21" t="s">
        <v>71</v>
      </c>
      <c r="D12" s="21"/>
      <c r="E12" s="21" t="s">
        <v>79</v>
      </c>
      <c r="F12" s="21"/>
      <c r="G12" s="21"/>
      <c r="H12" s="22"/>
      <c r="I12" s="21"/>
      <c r="J12" s="21"/>
      <c r="K12" s="13" t="str">
        <f aca="false">IF(AND(H12&lt;&gt;"",F12="Y"),H12&amp;"-"&amp;COUNTIFS($H$5:H12,H12,$F$5:F12,"Y"),"")</f>
        <v/>
      </c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2"/>
      <c r="I13" s="21"/>
      <c r="J13" s="21"/>
      <c r="K13" s="13" t="str">
        <f aca="false">IF(AND(H13&lt;&gt;"",F13="Y"),H13&amp;"-"&amp;COUNTIFS($H$5:H13,H13,$F$5:F13,"Y"),"")</f>
        <v/>
      </c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2"/>
      <c r="I14" s="21"/>
      <c r="J14" s="21"/>
      <c r="K14" s="13" t="str">
        <f aca="false">IF(AND(H14&lt;&gt;"",F14="Y"),H14&amp;"-"&amp;COUNTIFS($H$5:H14,H14,$F$5:F14,"Y"),"")</f>
        <v/>
      </c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2"/>
      <c r="I15" s="21"/>
      <c r="J15" s="21"/>
      <c r="K15" s="13" t="str">
        <f aca="false">IF(AND(H15&lt;&gt;"",F15="Y"),H15&amp;"-"&amp;COUNTIFS($H$5:H15,H15,$F$5:F15,"Y"),"")</f>
        <v/>
      </c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2"/>
      <c r="I16" s="21"/>
      <c r="J16" s="21"/>
      <c r="K16" s="13" t="str">
        <f aca="false">IF(AND(H16&lt;&gt;"",F16="Y"),H16&amp;"-"&amp;COUNTIFS($H$5:H16,H16,$F$5:F16,"Y"),"")</f>
        <v/>
      </c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2"/>
      <c r="I17" s="21"/>
      <c r="J17" s="21"/>
      <c r="K17" s="13" t="str">
        <f aca="false">IF(AND(H17&lt;&gt;"",F17="Y"),H17&amp;"-"&amp;COUNTIFS($H$5:H17,H17,$F$5:F17,"Y"),"")</f>
        <v/>
      </c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2"/>
      <c r="I18" s="21"/>
      <c r="J18" s="21"/>
      <c r="K18" s="13" t="str">
        <f aca="false">IF(AND(H18&lt;&gt;"",F18="Y"),H18&amp;"-"&amp;COUNTIFS($H$5:H18,H18,$F$5:F18,"Y"),"")</f>
        <v/>
      </c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2"/>
      <c r="I19" s="21"/>
      <c r="J19" s="21"/>
      <c r="K19" s="13" t="str">
        <f aca="false">IF(AND(H19&lt;&gt;"",F19="Y"),H19&amp;"-"&amp;COUNTIFS($H$5:H19,H19,$F$5:F19,"Y"),"")</f>
        <v/>
      </c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2"/>
      <c r="I20" s="21"/>
      <c r="J20" s="21"/>
      <c r="K20" s="13" t="str">
        <f aca="false">IF(AND(H20&lt;&gt;"",F20="Y"),H20&amp;"-"&amp;COUNTIFS($H$5:H20,H20,$F$5:F20,"Y"),"")</f>
        <v/>
      </c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2"/>
      <c r="I21" s="21"/>
      <c r="J21" s="21"/>
      <c r="K21" s="13" t="str">
        <f aca="false">IF(AND(H21&lt;&gt;"",F21="Y"),H21&amp;"-"&amp;COUNTIFS($H$5:H21,H21,$F$5:F21,"Y"),"")</f>
        <v/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2"/>
      <c r="I22" s="21"/>
      <c r="J22" s="21"/>
      <c r="K22" s="13" t="str">
        <f aca="false">IF(AND(H22&lt;&gt;"",F22="Y"),H22&amp;"-"&amp;COUNTIFS($H$5:H22,H22,$F$5:F22,"Y"),"")</f>
        <v/>
      </c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2"/>
      <c r="I23" s="21"/>
      <c r="J23" s="21"/>
      <c r="K23" s="13" t="str">
        <f aca="false">IF(AND(H23&lt;&gt;"",F23="Y"),H23&amp;"-"&amp;COUNTIFS($H$5:H23,H23,$F$5:F23,"Y"),"")</f>
        <v/>
      </c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2"/>
      <c r="I24" s="21"/>
      <c r="J24" s="21"/>
      <c r="K24" s="13" t="str">
        <f aca="false">IF(AND(H24&lt;&gt;"",F24="Y"),H24&amp;"-"&amp;COUNTIFS($H$5:H24,H24,$F$5:F24,"Y"),"")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2"/>
      <c r="I25" s="21"/>
      <c r="J25" s="21"/>
      <c r="K25" s="13" t="str">
        <f aca="false">IF(AND(H25&lt;&gt;"",F25="Y"),H25&amp;"-"&amp;COUNTIFS($H$5:H25,H25,$F$5:F25,"Y"),"")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2"/>
      <c r="I26" s="21"/>
      <c r="J26" s="21"/>
      <c r="K26" s="13" t="str">
        <f aca="false">IF(AND(H26&lt;&gt;"",F26="Y"),H26&amp;"-"&amp;COUNTIFS($H$5:H26,H26,$F$5:F26,"Y"),"")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2"/>
      <c r="I27" s="21"/>
      <c r="J27" s="21"/>
      <c r="K27" s="13" t="str">
        <f aca="false">IF(AND(H27&lt;&gt;"",F27="Y"),H27&amp;"-"&amp;COUNTIFS($H$5:H27,H27,$F$5:F27,"Y"),"")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2"/>
      <c r="I28" s="21"/>
      <c r="J28" s="21"/>
      <c r="K28" s="13" t="str">
        <f aca="false">IF(AND(H28&lt;&gt;"",F28="Y"),H28&amp;"-"&amp;COUNTIFS($H$5:H28,H28,$F$5:F28,"Y"),"")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2"/>
      <c r="I29" s="21"/>
      <c r="J29" s="21"/>
      <c r="K29" s="13" t="str">
        <f aca="false">IF(AND(H29&lt;&gt;"",F29="Y"),H29&amp;"-"&amp;COUNTIFS($H$5:H29,H29,$F$5:F29,"Y"),"")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2"/>
      <c r="I30" s="21"/>
      <c r="J30" s="21"/>
      <c r="K30" s="13" t="str">
        <f aca="false">IF(AND(H30&lt;&gt;"",F30="Y"),H30&amp;"-"&amp;COUNTIFS($H$5:H30,H30,$F$5:F30,"Y"),"")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2"/>
      <c r="I31" s="21"/>
      <c r="J31" s="21"/>
      <c r="K31" s="13" t="str">
        <f aca="false">IF(AND(H31&lt;&gt;"",F31="Y"),H31&amp;"-"&amp;COUNTIFS($H$5:H31,H31,$F$5:F31,"Y"),"")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2"/>
      <c r="I32" s="21"/>
      <c r="J32" s="21"/>
      <c r="K32" s="13" t="str">
        <f aca="false">IF(AND(H32&lt;&gt;"",F32="Y"),H32&amp;"-"&amp;COUNTIFS($H$5:H32,H32,$F$5:F32,"Y"),"")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2"/>
      <c r="I33" s="21"/>
      <c r="J33" s="21"/>
      <c r="K33" s="13" t="str">
        <f aca="false">IF(AND(H33&lt;&gt;"",F33="Y"),H33&amp;"-"&amp;COUNTIFS($H$5:H33,H33,$F$5:F33,"Y"),"")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2"/>
      <c r="I34" s="21"/>
      <c r="J34" s="21"/>
      <c r="K34" s="13" t="str">
        <f aca="false">IF(AND(H34&lt;&gt;"",F34="Y"),H34&amp;"-"&amp;COUNTIFS($H$5:H34,H34,$F$5:F34,"Y"),"")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2"/>
      <c r="I35" s="21"/>
      <c r="J35" s="21"/>
      <c r="K35" s="13" t="str">
        <f aca="false">IF(AND(H35&lt;&gt;"",F35="Y"),H35&amp;"-"&amp;COUNTIFS($H$5:H35,H35,$F$5:F35,"Y"),"")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2"/>
      <c r="I36" s="21"/>
      <c r="J36" s="21"/>
      <c r="K36" s="13" t="str">
        <f aca="false">IF(AND(H36&lt;&gt;"",F36="Y"),H36&amp;"-"&amp;COUNTIFS($H$5:H36,H36,$F$5:F36,"Y"),"")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2"/>
      <c r="I37" s="21"/>
      <c r="J37" s="21"/>
      <c r="K37" s="13" t="str">
        <f aca="false">IF(AND(H37&lt;&gt;"",F37="Y"),H37&amp;"-"&amp;COUNTIFS($H$5:H37,H37,$F$5:F37,"Y"),"")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2"/>
      <c r="I38" s="21"/>
      <c r="J38" s="21"/>
      <c r="K38" s="13" t="str">
        <f aca="false">IF(AND(H38&lt;&gt;"",F38="Y"),H38&amp;"-"&amp;COUNTIFS($H$5:H38,H38,$F$5:F38,"Y"),"")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2"/>
      <c r="I39" s="21"/>
      <c r="J39" s="21"/>
      <c r="K39" s="13" t="str">
        <f aca="false">IF(AND(H39&lt;&gt;"",F39="Y"),H39&amp;"-"&amp;COUNTIFS($H$5:H39,H39,$F$5:F39,"Y"),"")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2"/>
      <c r="I40" s="21"/>
      <c r="J40" s="21"/>
      <c r="K40" s="13" t="str">
        <f aca="false">IF(AND(H40&lt;&gt;"",F40="Y"),H40&amp;"-"&amp;COUNTIFS($H$5:H40,H40,$F$5:F40,"Y"),"")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2"/>
      <c r="I41" s="21"/>
      <c r="J41" s="21"/>
      <c r="K41" s="13" t="str">
        <f aca="false">IF(AND(H41&lt;&gt;"",F41="Y"),H41&amp;"-"&amp;COUNTIFS($H$5:H41,H41,$F$5:F41,"Y"),"")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2"/>
      <c r="I42" s="21"/>
      <c r="J42" s="21"/>
      <c r="K42" s="13" t="str">
        <f aca="false">IF(AND(H42&lt;&gt;"",F42="Y"),H42&amp;"-"&amp;COUNTIFS($H$5:H42,H42,$F$5:F42,"Y"),"")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2"/>
      <c r="I43" s="21"/>
      <c r="J43" s="21"/>
      <c r="K43" s="13" t="str">
        <f aca="false">IF(AND(H43&lt;&gt;"",F43="Y"),H43&amp;"-"&amp;COUNTIFS($H$5:H43,H43,$F$5:F43,"Y"),"")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2"/>
      <c r="I44" s="21"/>
      <c r="J44" s="21"/>
      <c r="K44" s="13" t="str">
        <f aca="false">IF(AND(H44&lt;&gt;"",F44="Y"),H44&amp;"-"&amp;COUNTIFS($H$5:H44,H44,$F$5:F44,"Y"),"")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2"/>
      <c r="I45" s="21"/>
      <c r="J45" s="21"/>
      <c r="K45" s="13" t="str">
        <f aca="false">IF(AND(H45&lt;&gt;"",F45="Y"),H45&amp;"-"&amp;COUNTIFS($H$5:H45,H45,$F$5:F45,"Y"),"")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2"/>
      <c r="I46" s="21"/>
      <c r="J46" s="21"/>
      <c r="K46" s="13" t="str">
        <f aca="false">IF(AND(H46&lt;&gt;"",F46="Y"),H46&amp;"-"&amp;COUNTIFS($H$5:H46,H46,$F$5:F46,"Y"),"")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2"/>
      <c r="I47" s="21"/>
      <c r="J47" s="21"/>
      <c r="K47" s="13" t="str">
        <f aca="false">IF(AND(H47&lt;&gt;"",F47="Y"),H47&amp;"-"&amp;COUNTIFS($H$5:H47,H47,$F$5:F47,"Y"),"")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2"/>
      <c r="I48" s="21"/>
      <c r="J48" s="21"/>
      <c r="K48" s="13" t="str">
        <f aca="false">IF(AND(H48&lt;&gt;"",F48="Y"),H48&amp;"-"&amp;COUNTIFS($H$5:H48,H48,$F$5:F48,"Y"),"")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2"/>
      <c r="I49" s="21"/>
      <c r="J49" s="21"/>
      <c r="K49" s="13" t="str">
        <f aca="false">IF(AND(H49&lt;&gt;"",F49="Y"),H49&amp;"-"&amp;COUNTIFS($H$5:H49,H49,$F$5:F49,"Y"),"")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2"/>
      <c r="I50" s="21"/>
      <c r="J50" s="21"/>
      <c r="K50" s="13" t="str">
        <f aca="false">IF(AND(H50&lt;&gt;"",F50="Y"),H50&amp;"-"&amp;COUNTIFS($H$5:H50,H50,$F$5:F50,"Y"),"")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2"/>
      <c r="I51" s="21"/>
      <c r="J51" s="21"/>
      <c r="K51" s="13" t="str">
        <f aca="false">IF(AND(H51&lt;&gt;"",F51="Y"),H51&amp;"-"&amp;COUNTIFS($H$5:H51,H51,$F$5:F51,"Y"),"")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2"/>
      <c r="I52" s="21"/>
      <c r="J52" s="21"/>
      <c r="K52" s="13" t="str">
        <f aca="false">IF(AND(H52&lt;&gt;"",F52="Y"),H52&amp;"-"&amp;COUNTIFS($H$5:H52,H52,$F$5:F52,"Y"),"")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2"/>
      <c r="I53" s="21"/>
      <c r="J53" s="21"/>
      <c r="K53" s="13" t="str">
        <f aca="false">IF(AND(H53&lt;&gt;"",F53="Y"),H53&amp;"-"&amp;COUNTIFS($H$5:H53,H53,$F$5:F53,"Y"),"")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2"/>
      <c r="I54" s="21"/>
      <c r="J54" s="21"/>
      <c r="K54" s="13" t="str">
        <f aca="false">IF(AND(H54&lt;&gt;"",F54="Y"),H54&amp;"-"&amp;COUNTIFS($H$5:H54,H54,$F$5:F54,"Y"),"")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2"/>
      <c r="I55" s="21"/>
      <c r="J55" s="21"/>
      <c r="K55" s="13" t="str">
        <f aca="false">IF(AND(H55&lt;&gt;"",F55="Y"),H55&amp;"-"&amp;COUNTIFS($H$5:H55,H55,$F$5:F55,"Y"),"")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2"/>
      <c r="I56" s="21"/>
      <c r="J56" s="21"/>
      <c r="K56" s="13" t="str">
        <f aca="false">IF(AND(H56&lt;&gt;"",F56="Y"),H56&amp;"-"&amp;COUNTIFS($H$5:H56,H56,$F$5:F56,"Y"),"")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2"/>
      <c r="I57" s="21"/>
      <c r="J57" s="21"/>
      <c r="K57" s="13" t="str">
        <f aca="false">IF(AND(H57&lt;&gt;"",F57="Y"),H57&amp;"-"&amp;COUNTIFS($H$5:H57,H57,$F$5:F57,"Y"),"")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2"/>
      <c r="I58" s="21"/>
      <c r="J58" s="21"/>
      <c r="K58" s="13" t="str">
        <f aca="false">IF(AND(H58&lt;&gt;"",F58="Y"),H58&amp;"-"&amp;COUNTIFS($H$5:H58,H58,$F$5:F58,"Y"),"")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2"/>
      <c r="I59" s="21"/>
      <c r="J59" s="21"/>
      <c r="K59" s="13" t="str">
        <f aca="false">IF(AND(H59&lt;&gt;"",F59="Y"),H59&amp;"-"&amp;COUNTIFS($H$5:H59,H59,$F$5:F59,"Y"),"")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2"/>
      <c r="I60" s="21"/>
      <c r="J60" s="21"/>
      <c r="K60" s="13" t="str">
        <f aca="false">IF(AND(H60&lt;&gt;"",F60="Y"),H60&amp;"-"&amp;COUNTIFS($H$5:H60,H60,$F$5:F60,"Y"),"")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2"/>
      <c r="I61" s="21"/>
      <c r="J61" s="21"/>
      <c r="K61" s="13" t="str">
        <f aca="false">IF(AND(H61&lt;&gt;"",F61="Y"),H61&amp;"-"&amp;COUNTIFS($H$5:H61,H61,$F$5:F61,"Y"),"")</f>
        <v/>
      </c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2"/>
      <c r="I62" s="21"/>
      <c r="J62" s="21"/>
      <c r="K62" s="13" t="str">
        <f aca="false">IF(AND(H62&lt;&gt;"",F62="Y"),H62&amp;"-"&amp;COUNTIFS($H$5:H62,H62,$F$5:F62,"Y"),"")</f>
        <v/>
      </c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2"/>
      <c r="I63" s="21"/>
      <c r="J63" s="21"/>
      <c r="K63" s="13" t="str">
        <f aca="false">IF(AND(H63&lt;&gt;"",F63="Y"),H63&amp;"-"&amp;COUNTIFS($H$5:H63,H63,$F$5:F63,"Y"),"")</f>
        <v/>
      </c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2"/>
      <c r="I64" s="21"/>
      <c r="J64" s="21"/>
      <c r="K64" s="13" t="str">
        <f aca="false">IF(AND(H64&lt;&gt;"",F64="Y"),H64&amp;"-"&amp;COUNTIFS($H$5:H64,H64,$F$5:F64,"Y"),"")</f>
        <v/>
      </c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2"/>
      <c r="I65" s="21"/>
      <c r="J65" s="21"/>
      <c r="K65" s="13" t="str">
        <f aca="false">IF(AND(H65&lt;&gt;"",F65="Y"),H65&amp;"-"&amp;COUNTIFS($H$5:H65,H65,$F$5:F65,"Y"),"")</f>
        <v/>
      </c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2"/>
      <c r="I66" s="21"/>
      <c r="J66" s="21"/>
      <c r="K66" s="13" t="str">
        <f aca="false">IF(AND(H66&lt;&gt;"",F66="Y"),H66&amp;"-"&amp;COUNTIFS($H$5:H66,H66,$F$5:F66,"Y"),"")</f>
        <v/>
      </c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2"/>
      <c r="I67" s="21"/>
      <c r="J67" s="21"/>
      <c r="K67" s="13" t="str">
        <f aca="false">IF(AND(H67&lt;&gt;"",F67="Y"),H67&amp;"-"&amp;COUNTIFS($H$5:H67,H67,$F$5:F67,"Y"),"")</f>
        <v/>
      </c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2"/>
      <c r="I68" s="21"/>
      <c r="J68" s="21"/>
      <c r="K68" s="13" t="str">
        <f aca="false">IF(AND(H68&lt;&gt;"",F68="Y"),H68&amp;"-"&amp;COUNTIFS($H$5:H68,H68,$F$5:F68,"Y"),"")</f>
        <v/>
      </c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2"/>
      <c r="I69" s="21"/>
      <c r="J69" s="21"/>
      <c r="K69" s="13" t="str">
        <f aca="false">IF(AND(H69&lt;&gt;"",F69="Y"),H69&amp;"-"&amp;COUNTIFS($H$5:H69,H69,$F$5:F69,"Y"),"")</f>
        <v/>
      </c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2"/>
      <c r="I70" s="21"/>
      <c r="J70" s="21"/>
      <c r="K70" s="13" t="str">
        <f aca="false">IF(AND(H70&lt;&gt;"",F70="Y"),H70&amp;"-"&amp;COUNTIFS($H$5:H70,H70,$F$5:F70,"Y"),"")</f>
        <v/>
      </c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2"/>
      <c r="I71" s="21"/>
      <c r="J71" s="21"/>
      <c r="K71" s="13" t="str">
        <f aca="false">IF(AND(H71&lt;&gt;"",F71="Y"),H71&amp;"-"&amp;COUNTIFS($H$5:H71,H71,$F$5:F71,"Y"),"")</f>
        <v/>
      </c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2"/>
      <c r="I72" s="21"/>
      <c r="J72" s="21"/>
      <c r="K72" s="13" t="str">
        <f aca="false">IF(AND(H72&lt;&gt;"",F72="Y"),H72&amp;"-"&amp;COUNTIFS($H$5:H72,H72,$F$5:F72,"Y"),"")</f>
        <v/>
      </c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2"/>
      <c r="I73" s="21"/>
      <c r="J73" s="21"/>
      <c r="K73" s="13" t="str">
        <f aca="false">IF(AND(H73&lt;&gt;"",F73="Y"),H73&amp;"-"&amp;COUNTIFS($H$5:H73,H73,$F$5:F73,"Y"),"")</f>
        <v/>
      </c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2"/>
      <c r="I74" s="21"/>
      <c r="J74" s="21"/>
      <c r="K74" s="13" t="str">
        <f aca="false">IF(AND(H74&lt;&gt;"",F74="Y"),H74&amp;"-"&amp;COUNTIFS($H$5:H74,H74,$F$5:F74,"Y"),"")</f>
        <v/>
      </c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2"/>
      <c r="I75" s="21"/>
      <c r="J75" s="21"/>
      <c r="K75" s="13" t="str">
        <f aca="false">IF(AND(H75&lt;&gt;"",F75="Y"),H75&amp;"-"&amp;COUNTIFS($H$5:H75,H75,$F$5:F75,"Y"),"")</f>
        <v/>
      </c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2"/>
      <c r="I76" s="21"/>
      <c r="J76" s="21"/>
      <c r="K76" s="13" t="str">
        <f aca="false">IF(AND(H76&lt;&gt;"",F76="Y"),H76&amp;"-"&amp;COUNTIFS($H$5:H76,H76,$F$5:F76,"Y"),"")</f>
        <v/>
      </c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2"/>
      <c r="I77" s="21"/>
      <c r="J77" s="21"/>
      <c r="K77" s="13" t="str">
        <f aca="false">IF(AND(H77&lt;&gt;"",F77="Y"),H77&amp;"-"&amp;COUNTIFS($H$5:H77,H77,$F$5:F77,"Y"),"")</f>
        <v/>
      </c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2"/>
      <c r="I78" s="21"/>
      <c r="J78" s="21"/>
      <c r="K78" s="13" t="str">
        <f aca="false">IF(AND(H78&lt;&gt;"",F78="Y"),H78&amp;"-"&amp;COUNTIFS($H$5:H78,H78,$F$5:F78,"Y"),"")</f>
        <v/>
      </c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2"/>
      <c r="I79" s="21"/>
      <c r="J79" s="21"/>
      <c r="K79" s="13" t="str">
        <f aca="false">IF(AND(H79&lt;&gt;"",F79="Y"),H79&amp;"-"&amp;COUNTIFS($H$5:H79,H79,$F$5:F79,"Y"),"")</f>
        <v/>
      </c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2"/>
      <c r="I80" s="21"/>
      <c r="J80" s="21"/>
      <c r="K80" s="13" t="str">
        <f aca="false">IF(AND(H80&lt;&gt;"",F80="Y"),H80&amp;"-"&amp;COUNTIFS($H$5:H80,H80,$F$5:F80,"Y"),"")</f>
        <v/>
      </c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2"/>
      <c r="I81" s="21"/>
      <c r="J81" s="21"/>
      <c r="K81" s="13" t="str">
        <f aca="false">IF(AND(H81&lt;&gt;"",F81="Y"),H81&amp;"-"&amp;COUNTIFS($H$5:H81,H81,$F$5:F81,"Y"),"")</f>
        <v/>
      </c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2"/>
      <c r="I82" s="21"/>
      <c r="J82" s="21"/>
      <c r="K82" s="13" t="str">
        <f aca="false">IF(AND(H82&lt;&gt;"",F82="Y"),H82&amp;"-"&amp;COUNTIFS($H$5:H82,H82,$F$5:F82,"Y"),"")</f>
        <v/>
      </c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2"/>
      <c r="I83" s="21"/>
      <c r="J83" s="21"/>
      <c r="K83" s="13" t="str">
        <f aca="false">IF(AND(H83&lt;&gt;"",F83="Y"),H83&amp;"-"&amp;COUNTIFS($H$5:H83,H83,$F$5:F83,"Y"),"")</f>
        <v/>
      </c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2"/>
      <c r="I84" s="21"/>
      <c r="J84" s="21"/>
      <c r="K84" s="13" t="str">
        <f aca="false">IF(AND(H84&lt;&gt;"",F84="Y"),H84&amp;"-"&amp;COUNTIFS($H$5:H84,H84,$F$5:F84,"Y"),"")</f>
        <v/>
      </c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2"/>
      <c r="I85" s="21"/>
      <c r="J85" s="21"/>
      <c r="K85" s="13" t="str">
        <f aca="false">IF(AND(H85&lt;&gt;"",F85="Y"),H85&amp;"-"&amp;COUNTIFS($H$5:H85,H85,$F$5:F85,"Y"),"")</f>
        <v/>
      </c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2"/>
      <c r="I86" s="21"/>
      <c r="J86" s="21"/>
      <c r="K86" s="13" t="str">
        <f aca="false">IF(AND(H86&lt;&gt;"",F86="Y"),H86&amp;"-"&amp;COUNTIFS($H$5:H86,H86,$F$5:F86,"Y"),"")</f>
        <v/>
      </c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2"/>
      <c r="I87" s="21"/>
      <c r="J87" s="21"/>
      <c r="K87" s="13" t="str">
        <f aca="false">IF(AND(H87&lt;&gt;"",F87="Y"),H87&amp;"-"&amp;COUNTIFS($H$5:H87,H87,$F$5:F87,"Y"),"")</f>
        <v/>
      </c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2"/>
      <c r="I88" s="21"/>
      <c r="J88" s="21"/>
      <c r="K88" s="13" t="str">
        <f aca="false">IF(AND(H88&lt;&gt;"",F88="Y"),H88&amp;"-"&amp;COUNTIFS($H$5:H88,H88,$F$5:F88,"Y"),"")</f>
        <v/>
      </c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2"/>
      <c r="I89" s="21"/>
      <c r="J89" s="21"/>
      <c r="K89" s="13" t="str">
        <f aca="false">IF(AND(H89&lt;&gt;"",F89="Y"),H89&amp;"-"&amp;COUNTIFS($H$5:H89,H89,$F$5:F89,"Y"),"")</f>
        <v/>
      </c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2"/>
      <c r="I90" s="21"/>
      <c r="J90" s="21"/>
      <c r="K90" s="13" t="str">
        <f aca="false">IF(AND(H90&lt;&gt;"",F90="Y"),H90&amp;"-"&amp;COUNTIFS($H$5:H90,H90,$F$5:F90,"Y"),"")</f>
        <v/>
      </c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2"/>
      <c r="I91" s="21"/>
      <c r="J91" s="21"/>
      <c r="K91" s="13" t="str">
        <f aca="false">IF(AND(H91&lt;&gt;"",F91="Y"),H91&amp;"-"&amp;COUNTIFS($H$5:H91,H91,$F$5:F91,"Y"),"")</f>
        <v/>
      </c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2"/>
      <c r="I92" s="21"/>
      <c r="J92" s="21"/>
      <c r="K92" s="13" t="str">
        <f aca="false">IF(AND(H92&lt;&gt;"",F92="Y"),H92&amp;"-"&amp;COUNTIFS($H$5:H92,H92,$F$5:F92,"Y"),"")</f>
        <v/>
      </c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2"/>
      <c r="I93" s="21"/>
      <c r="J93" s="21"/>
      <c r="K93" s="13" t="str">
        <f aca="false">IF(AND(H93&lt;&gt;"",F93="Y"),H93&amp;"-"&amp;COUNTIFS($H$5:H93,H93,$F$5:F93,"Y"),"")</f>
        <v/>
      </c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2"/>
      <c r="I94" s="21"/>
      <c r="J94" s="21"/>
      <c r="K94" s="13" t="str">
        <f aca="false">IF(AND(H94&lt;&gt;"",F94="Y"),H94&amp;"-"&amp;COUNTIFS($H$5:H94,H94,$F$5:F94,"Y"),"")</f>
        <v/>
      </c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2"/>
      <c r="I95" s="21"/>
      <c r="J95" s="21"/>
      <c r="K95" s="13" t="str">
        <f aca="false">IF(AND(H95&lt;&gt;"",F95="Y"),H95&amp;"-"&amp;COUNTIFS($H$5:H95,H95,$F$5:F95,"Y"),"")</f>
        <v/>
      </c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2"/>
      <c r="I96" s="21"/>
      <c r="J96" s="21"/>
      <c r="K96" s="13" t="str">
        <f aca="false">IF(AND(H96&lt;&gt;"",F96="Y"),H96&amp;"-"&amp;COUNTIFS($H$5:H96,H96,$F$5:F96,"Y"),"")</f>
        <v/>
      </c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2"/>
      <c r="I97" s="21"/>
      <c r="J97" s="21"/>
      <c r="K97" s="13" t="str">
        <f aca="false">IF(AND(H97&lt;&gt;"",F97="Y"),H97&amp;"-"&amp;COUNTIFS($H$5:H97,H97,$F$5:F97,"Y"),"")</f>
        <v/>
      </c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2"/>
      <c r="I98" s="21"/>
      <c r="J98" s="21"/>
      <c r="K98" s="13" t="str">
        <f aca="false">IF(AND(H98&lt;&gt;"",F98="Y"),H98&amp;"-"&amp;COUNTIFS($H$5:H98,H98,$F$5:F98,"Y"),"")</f>
        <v/>
      </c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2"/>
      <c r="I99" s="21"/>
      <c r="J99" s="21"/>
      <c r="K99" s="13" t="str">
        <f aca="false">IF(AND(H99&lt;&gt;"",F99="Y"),H99&amp;"-"&amp;COUNTIFS($H$5:H99,H99,$F$5:F99,"Y"),"")</f>
        <v/>
      </c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2"/>
      <c r="I100" s="21"/>
      <c r="J100" s="21"/>
      <c r="K100" s="13" t="str">
        <f aca="false">IF(AND(H100&lt;&gt;"",F100="Y"),H100&amp;"-"&amp;COUNTIFS($H$5:H100,H100,$F$5:F100,"Y"),"")</f>
        <v/>
      </c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2"/>
      <c r="I101" s="21"/>
      <c r="J101" s="21"/>
      <c r="K101" s="13" t="str">
        <f aca="false">IF(AND(H101&lt;&gt;"",F101="Y"),H101&amp;"-"&amp;COUNTIFS($H$5:H101,H101,$F$5:F101,"Y"),"")</f>
        <v/>
      </c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2"/>
      <c r="I102" s="21"/>
      <c r="J102" s="21"/>
      <c r="K102" s="13" t="str">
        <f aca="false">IF(AND(H102&lt;&gt;"",F102="Y"),H102&amp;"-"&amp;COUNTIFS($H$5:H102,H102,$F$5:F102,"Y"),"")</f>
        <v/>
      </c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2"/>
      <c r="I103" s="21"/>
      <c r="J103" s="21"/>
      <c r="K103" s="13" t="str">
        <f aca="false">IF(AND(H103&lt;&gt;"",F103="Y"),H103&amp;"-"&amp;COUNTIFS($H$5:H103,H103,$F$5:F103,"Y"),"")</f>
        <v/>
      </c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2"/>
      <c r="I104" s="21"/>
      <c r="J104" s="21"/>
      <c r="K104" s="13" t="str">
        <f aca="false">IF(AND(H104&lt;&gt;"",F104="Y"),H104&amp;"-"&amp;COUNTIFS($H$5:H104,H104,$F$5:F104,"Y"),"")</f>
        <v/>
      </c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2"/>
      <c r="I105" s="21"/>
      <c r="J105" s="21"/>
      <c r="K105" s="13" t="str">
        <f aca="false">IF(AND(H105&lt;&gt;"",F105="Y"),H105&amp;"-"&amp;COUNTIFS($H$5:H105,H105,$F$5:F105,"Y"),"")</f>
        <v/>
      </c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2"/>
      <c r="I106" s="21"/>
      <c r="J106" s="21"/>
      <c r="K106" s="13" t="str">
        <f aca="false">IF(AND(H106&lt;&gt;"",F106="Y"),H106&amp;"-"&amp;COUNTIFS($H$5:H106,H106,$F$5:F106,"Y"),"")</f>
        <v/>
      </c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2"/>
      <c r="I107" s="21"/>
      <c r="J107" s="21"/>
      <c r="K107" s="13" t="str">
        <f aca="false">IF(AND(H107&lt;&gt;"",F107="Y"),H107&amp;"-"&amp;COUNTIFS($H$5:H107,H107,$F$5:F107,"Y"),"")</f>
        <v/>
      </c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2"/>
      <c r="I108" s="21"/>
      <c r="J108" s="21"/>
      <c r="K108" s="13" t="str">
        <f aca="false">IF(AND(H108&lt;&gt;"",F108="Y"),H108&amp;"-"&amp;COUNTIFS($H$5:H108,H108,$F$5:F108,"Y"),"")</f>
        <v/>
      </c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2"/>
      <c r="I109" s="21"/>
      <c r="J109" s="21"/>
      <c r="K109" s="13" t="str">
        <f aca="false">IF(AND(H109&lt;&gt;"",F109="Y"),H109&amp;"-"&amp;COUNTIFS($H$5:H109,H109,$F$5:F109,"Y"),"")</f>
        <v/>
      </c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2"/>
      <c r="I110" s="21"/>
      <c r="J110" s="21"/>
      <c r="K110" s="13" t="str">
        <f aca="false">IF(AND(H110&lt;&gt;"",F110="Y"),H110&amp;"-"&amp;COUNTIFS($H$5:H110,H110,$F$5:F110,"Y"),"")</f>
        <v/>
      </c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2"/>
      <c r="I111" s="21"/>
      <c r="J111" s="21"/>
      <c r="K111" s="13" t="str">
        <f aca="false">IF(AND(H111&lt;&gt;"",F111="Y"),H111&amp;"-"&amp;COUNTIFS($H$5:H111,H111,$F$5:F111,"Y"),"")</f>
        <v/>
      </c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2"/>
      <c r="I112" s="21"/>
      <c r="J112" s="21"/>
      <c r="K112" s="13" t="str">
        <f aca="false">IF(AND(H112&lt;&gt;"",F112="Y"),H112&amp;"-"&amp;COUNTIFS($H$5:H112,H112,$F$5:F112,"Y"),"")</f>
        <v/>
      </c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2"/>
      <c r="I113" s="21"/>
      <c r="J113" s="21"/>
      <c r="K113" s="13" t="str">
        <f aca="false">IF(AND(H113&lt;&gt;"",F113="Y"),H113&amp;"-"&amp;COUNTIFS($H$5:H113,H113,$F$5:F113,"Y"),"")</f>
        <v/>
      </c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2"/>
      <c r="I114" s="21"/>
      <c r="J114" s="21"/>
      <c r="K114" s="13" t="str">
        <f aca="false">IF(AND(H114&lt;&gt;"",F114="Y"),H114&amp;"-"&amp;COUNTIFS($H$5:H114,H114,$F$5:F114,"Y"),"")</f>
        <v/>
      </c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2"/>
      <c r="I115" s="21"/>
      <c r="J115" s="21"/>
      <c r="K115" s="13" t="str">
        <f aca="false">IF(AND(H115&lt;&gt;"",F115="Y"),H115&amp;"-"&amp;COUNTIFS($H$5:H115,H115,$F$5:F115,"Y"),"")</f>
        <v/>
      </c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2"/>
      <c r="I116" s="21"/>
      <c r="J116" s="21"/>
      <c r="K116" s="13" t="str">
        <f aca="false">IF(AND(H116&lt;&gt;"",F116="Y"),H116&amp;"-"&amp;COUNTIFS($H$5:H116,H116,$F$5:F116,"Y"),"")</f>
        <v/>
      </c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2"/>
      <c r="I117" s="21"/>
      <c r="J117" s="21"/>
      <c r="K117" s="13" t="str">
        <f aca="false">IF(AND(H117&lt;&gt;"",F117="Y"),H117&amp;"-"&amp;COUNTIFS($H$5:H117,H117,$F$5:F117,"Y"),"")</f>
        <v/>
      </c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2"/>
      <c r="I118" s="21"/>
      <c r="J118" s="21"/>
      <c r="K118" s="13" t="str">
        <f aca="false">IF(AND(H118&lt;&gt;"",F118="Y"),H118&amp;"-"&amp;COUNTIFS($H$5:H118,H118,$F$5:F118,"Y"),"")</f>
        <v/>
      </c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2"/>
      <c r="I119" s="21"/>
      <c r="J119" s="21"/>
      <c r="K119" s="13" t="str">
        <f aca="false">IF(AND(H119&lt;&gt;"",F119="Y"),H119&amp;"-"&amp;COUNTIFS($H$5:H119,H119,$F$5:F119,"Y"),"")</f>
        <v/>
      </c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2"/>
      <c r="I120" s="21"/>
      <c r="J120" s="21"/>
      <c r="K120" s="13" t="str">
        <f aca="false">IF(AND(H120&lt;&gt;"",F120="Y"),H120&amp;"-"&amp;COUNTIFS($H$5:H120,H120,$F$5:F120,"Y"),"")</f>
        <v/>
      </c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2"/>
      <c r="I121" s="21"/>
      <c r="J121" s="21"/>
      <c r="K121" s="13" t="str">
        <f aca="false">IF(AND(H121&lt;&gt;"",F121="Y"),H121&amp;"-"&amp;COUNTIFS($H$5:H121,H121,$F$5:F121,"Y"),"")</f>
        <v/>
      </c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2"/>
      <c r="I122" s="21"/>
      <c r="J122" s="21"/>
      <c r="K122" s="13" t="str">
        <f aca="false">IF(AND(H122&lt;&gt;"",F122="Y"),H122&amp;"-"&amp;COUNTIFS($H$5:H122,H122,$F$5:F122,"Y"),"")</f>
        <v/>
      </c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2"/>
      <c r="I123" s="21"/>
      <c r="J123" s="21"/>
      <c r="K123" s="13" t="str">
        <f aca="false">IF(AND(H123&lt;&gt;"",F123="Y"),H123&amp;"-"&amp;COUNTIFS($H$5:H123,H123,$F$5:F123,"Y"),"")</f>
        <v/>
      </c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2"/>
      <c r="I124" s="21"/>
      <c r="J124" s="21"/>
      <c r="K124" s="13" t="str">
        <f aca="false">IF(AND(H124&lt;&gt;"",F124="Y"),H124&amp;"-"&amp;COUNTIFS($H$5:H124,H124,$F$5:F124,"Y"),"")</f>
        <v/>
      </c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2"/>
      <c r="I125" s="21"/>
      <c r="J125" s="21"/>
      <c r="K125" s="13" t="str">
        <f aca="false">IF(AND(H125&lt;&gt;"",F125="Y"),H125&amp;"-"&amp;COUNTIFS($H$5:H125,H125,$F$5:F125,"Y"),"")</f>
        <v/>
      </c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2"/>
      <c r="I126" s="21"/>
      <c r="J126" s="21"/>
      <c r="K126" s="13" t="str">
        <f aca="false">IF(AND(H126&lt;&gt;"",F126="Y"),H126&amp;"-"&amp;COUNTIFS($H$5:H126,H126,$F$5:F126,"Y"),"")</f>
        <v/>
      </c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2"/>
      <c r="I127" s="21"/>
      <c r="J127" s="21"/>
      <c r="K127" s="13" t="str">
        <f aca="false">IF(AND(H127&lt;&gt;"",F127="Y"),H127&amp;"-"&amp;COUNTIFS($H$5:H127,H127,$F$5:F127,"Y"),"")</f>
        <v/>
      </c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2"/>
      <c r="I128" s="21"/>
      <c r="J128" s="21"/>
      <c r="K128" s="13" t="str">
        <f aca="false">IF(AND(H128&lt;&gt;"",F128="Y"),H128&amp;"-"&amp;COUNTIFS($H$5:H128,H128,$F$5:F128,"Y"),"")</f>
        <v/>
      </c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2"/>
      <c r="I129" s="21"/>
      <c r="J129" s="21"/>
      <c r="K129" s="13" t="str">
        <f aca="false">IF(AND(H129&lt;&gt;"",F129="Y"),H129&amp;"-"&amp;COUNTIFS($H$5:H129,H129,$F$5:F129,"Y"),"")</f>
        <v/>
      </c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2"/>
      <c r="I130" s="21"/>
      <c r="J130" s="21"/>
      <c r="K130" s="13" t="str">
        <f aca="false">IF(AND(H130&lt;&gt;"",F130="Y"),H130&amp;"-"&amp;COUNTIFS($H$5:H130,H130,$F$5:F130,"Y"),"")</f>
        <v/>
      </c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2"/>
      <c r="I131" s="21"/>
      <c r="J131" s="21"/>
      <c r="K131" s="13" t="str">
        <f aca="false">IF(AND(H131&lt;&gt;"",F131="Y"),H131&amp;"-"&amp;COUNTIFS($H$5:H131,H131,$F$5:F131,"Y"),"")</f>
        <v/>
      </c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2"/>
      <c r="I132" s="21"/>
      <c r="J132" s="21"/>
      <c r="K132" s="13" t="str">
        <f aca="false">IF(AND(H132&lt;&gt;"",F132="Y"),H132&amp;"-"&amp;COUNTIFS($H$5:H132,H132,$F$5:F132,"Y"),"")</f>
        <v/>
      </c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2"/>
      <c r="I133" s="21"/>
      <c r="J133" s="21"/>
      <c r="K133" s="13" t="str">
        <f aca="false">IF(AND(H133&lt;&gt;"",F133="Y"),H133&amp;"-"&amp;COUNTIFS($H$5:H133,H133,$F$5:F133,"Y"),"")</f>
        <v/>
      </c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2"/>
      <c r="I134" s="21"/>
      <c r="J134" s="21"/>
      <c r="K134" s="13" t="str">
        <f aca="false">IF(AND(H134&lt;&gt;"",F134="Y"),H134&amp;"-"&amp;COUNTIFS($H$5:H134,H134,$F$5:F134,"Y"),"")</f>
        <v/>
      </c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2"/>
      <c r="I135" s="21"/>
      <c r="J135" s="21"/>
      <c r="K135" s="13" t="str">
        <f aca="false">IF(AND(H135&lt;&gt;"",F135="Y"),H135&amp;"-"&amp;COUNTIFS($H$5:H135,H135,$F$5:F135,"Y"),"")</f>
        <v/>
      </c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2"/>
      <c r="I136" s="21"/>
      <c r="J136" s="21"/>
      <c r="K136" s="13" t="str">
        <f aca="false">IF(AND(H136&lt;&gt;"",F136="Y"),H136&amp;"-"&amp;COUNTIFS($H$5:H136,H136,$F$5:F136,"Y"),"")</f>
        <v/>
      </c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2"/>
      <c r="I137" s="21"/>
      <c r="J137" s="21"/>
      <c r="K137" s="13" t="str">
        <f aca="false">IF(AND(H137&lt;&gt;"",F137="Y"),H137&amp;"-"&amp;COUNTIFS($H$5:H137,H137,$F$5:F137,"Y"),"")</f>
        <v/>
      </c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2"/>
      <c r="I138" s="21"/>
      <c r="J138" s="21"/>
      <c r="K138" s="13" t="str">
        <f aca="false">IF(AND(H138&lt;&gt;"",F138="Y"),H138&amp;"-"&amp;COUNTIFS($H$5:H138,H138,$F$5:F138,"Y"),"")</f>
        <v/>
      </c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2"/>
      <c r="I139" s="21"/>
      <c r="J139" s="21"/>
      <c r="K139" s="13" t="str">
        <f aca="false">IF(AND(H139&lt;&gt;"",F139="Y"),H139&amp;"-"&amp;COUNTIFS($H$5:H139,H139,$F$5:F139,"Y"),"")</f>
        <v/>
      </c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2"/>
      <c r="I140" s="21"/>
      <c r="J140" s="21"/>
      <c r="K140" s="13" t="str">
        <f aca="false">IF(AND(H140&lt;&gt;"",F140="Y"),H140&amp;"-"&amp;COUNTIFS($H$5:H140,H140,$F$5:F140,"Y"),"")</f>
        <v/>
      </c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2"/>
      <c r="I141" s="21"/>
      <c r="J141" s="21"/>
      <c r="K141" s="13" t="str">
        <f aca="false">IF(AND(H141&lt;&gt;"",F141="Y"),H141&amp;"-"&amp;COUNTIFS($H$5:H141,H141,$F$5:F141,"Y"),"")</f>
        <v/>
      </c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2"/>
      <c r="I142" s="21"/>
      <c r="J142" s="21"/>
      <c r="K142" s="13" t="str">
        <f aca="false">IF(AND(H142&lt;&gt;"",F142="Y"),H142&amp;"-"&amp;COUNTIFS($H$5:H142,H142,$F$5:F142,"Y"),"")</f>
        <v/>
      </c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2"/>
      <c r="I143" s="21"/>
      <c r="J143" s="21"/>
      <c r="K143" s="13" t="str">
        <f aca="false">IF(AND(H143&lt;&gt;"",F143="Y"),H143&amp;"-"&amp;COUNTIFS($H$5:H143,H143,$F$5:F143,"Y"),"")</f>
        <v/>
      </c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2"/>
      <c r="I144" s="21"/>
      <c r="J144" s="21"/>
      <c r="K144" s="13" t="str">
        <f aca="false">IF(AND(H144&lt;&gt;"",F144="Y"),H144&amp;"-"&amp;COUNTIFS($H$5:H144,H144,$F$5:F144,"Y"),"")</f>
        <v/>
      </c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2"/>
      <c r="I145" s="21"/>
      <c r="J145" s="21"/>
      <c r="K145" s="13" t="str">
        <f aca="false">IF(AND(H145&lt;&gt;"",F145="Y"),H145&amp;"-"&amp;COUNTIFS($H$5:H145,H145,$F$5:F145,"Y"),"")</f>
        <v/>
      </c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2"/>
      <c r="I146" s="21"/>
      <c r="J146" s="21"/>
      <c r="K146" s="13" t="str">
        <f aca="false">IF(AND(H146&lt;&gt;"",F146="Y"),H146&amp;"-"&amp;COUNTIFS($H$5:H146,H146,$F$5:F146,"Y"),"")</f>
        <v/>
      </c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2"/>
      <c r="I147" s="21"/>
      <c r="J147" s="21"/>
      <c r="K147" s="13" t="str">
        <f aca="false">IF(AND(H147&lt;&gt;"",F147="Y"),H147&amp;"-"&amp;COUNTIFS($H$5:H147,H147,$F$5:F147,"Y"),"")</f>
        <v/>
      </c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2"/>
      <c r="I148" s="21"/>
      <c r="J148" s="21"/>
      <c r="K148" s="13" t="str">
        <f aca="false">IF(AND(H148&lt;&gt;"",F148="Y"),H148&amp;"-"&amp;COUNTIFS($H$5:H148,H148,$F$5:F148,"Y"),"")</f>
        <v/>
      </c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2"/>
      <c r="I149" s="21"/>
      <c r="J149" s="21"/>
      <c r="K149" s="13" t="str">
        <f aca="false">IF(AND(H149&lt;&gt;"",F149="Y"),H149&amp;"-"&amp;COUNTIFS($H$5:H149,H149,$F$5:F149,"Y"),"")</f>
        <v/>
      </c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2"/>
      <c r="I150" s="21"/>
      <c r="J150" s="21"/>
      <c r="K150" s="13" t="str">
        <f aca="false">IF(AND(H150&lt;&gt;"",F150="Y"),H150&amp;"-"&amp;COUNTIFS($H$5:H150,H150,$F$5:F150,"Y"),"")</f>
        <v/>
      </c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2"/>
      <c r="I151" s="21"/>
      <c r="J151" s="21"/>
      <c r="K151" s="13" t="str">
        <f aca="false">IF(AND(H151&lt;&gt;"",F151="Y"),H151&amp;"-"&amp;COUNTIFS($H$5:H151,H151,$F$5:F151,"Y"),"")</f>
        <v/>
      </c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2"/>
      <c r="I152" s="21"/>
      <c r="J152" s="21"/>
      <c r="K152" s="13" t="str">
        <f aca="false">IF(AND(H152&lt;&gt;"",F152="Y"),H152&amp;"-"&amp;COUNTIFS($H$5:H152,H152,$F$5:F152,"Y"),"")</f>
        <v/>
      </c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2"/>
      <c r="I153" s="21"/>
      <c r="J153" s="21"/>
      <c r="K153" s="13" t="str">
        <f aca="false">IF(AND(H153&lt;&gt;"",F153="Y"),H153&amp;"-"&amp;COUNTIFS($H$5:H153,H153,$F$5:F153,"Y"),"")</f>
        <v/>
      </c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2"/>
      <c r="I154" s="21"/>
      <c r="J154" s="21"/>
      <c r="K154" s="13" t="str">
        <f aca="false">IF(AND(H154&lt;&gt;"",F154="Y"),H154&amp;"-"&amp;COUNTIFS($H$5:H154,H154,$F$5:F154,"Y"),"")</f>
        <v/>
      </c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2"/>
      <c r="I155" s="21"/>
      <c r="J155" s="21"/>
      <c r="K155" s="13" t="str">
        <f aca="false">IF(AND(H155&lt;&gt;"",F155="Y"),H155&amp;"-"&amp;COUNTIFS($H$5:H155,H155,$F$5:F155,"Y"),"")</f>
        <v/>
      </c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2"/>
      <c r="I156" s="21"/>
      <c r="J156" s="21"/>
      <c r="K156" s="13" t="str">
        <f aca="false">IF(AND(H156&lt;&gt;"",F156="Y"),H156&amp;"-"&amp;COUNTIFS($H$5:H156,H156,$F$5:F156,"Y"),"")</f>
        <v/>
      </c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2"/>
      <c r="I157" s="21"/>
      <c r="J157" s="21"/>
      <c r="K157" s="13" t="str">
        <f aca="false">IF(AND(H157&lt;&gt;"",F157="Y"),H157&amp;"-"&amp;COUNTIFS($H$5:H157,H157,$F$5:F157,"Y"),"")</f>
        <v/>
      </c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2"/>
      <c r="I158" s="21"/>
      <c r="J158" s="21"/>
      <c r="K158" s="13" t="str">
        <f aca="false">IF(AND(H158&lt;&gt;"",F158="Y"),H158&amp;"-"&amp;COUNTIFS($H$5:H158,H158,$F$5:F158,"Y"),"")</f>
        <v/>
      </c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2"/>
      <c r="I159" s="21"/>
      <c r="J159" s="21"/>
      <c r="K159" s="13" t="str">
        <f aca="false">IF(AND(H159&lt;&gt;"",F159="Y"),H159&amp;"-"&amp;COUNTIFS($H$5:H159,H159,$F$5:F159,"Y"),"")</f>
        <v/>
      </c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2"/>
      <c r="I160" s="21"/>
      <c r="J160" s="21"/>
      <c r="K160" s="13" t="str">
        <f aca="false">IF(AND(H160&lt;&gt;"",F160="Y"),H160&amp;"-"&amp;COUNTIFS($H$5:H160,H160,$F$5:F160,"Y"),"")</f>
        <v/>
      </c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2"/>
      <c r="I161" s="21"/>
      <c r="J161" s="21"/>
      <c r="K161" s="13" t="str">
        <f aca="false">IF(AND(H161&lt;&gt;"",F161="Y"),H161&amp;"-"&amp;COUNTIFS($H$5:H161,H161,$F$5:F161,"Y"),"")</f>
        <v/>
      </c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2"/>
      <c r="I162" s="21"/>
      <c r="J162" s="21"/>
      <c r="K162" s="13" t="str">
        <f aca="false">IF(AND(H162&lt;&gt;"",F162="Y"),H162&amp;"-"&amp;COUNTIFS($H$5:H162,H162,$F$5:F162,"Y"),"")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