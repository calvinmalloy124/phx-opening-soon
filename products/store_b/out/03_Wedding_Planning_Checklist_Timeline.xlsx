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Start Here" sheetId="1" state="visible" r:id="rId3"/>
    <sheet name="Dashboard" sheetId="2" state="visible" r:id="rId4"/>
    <sheet name="Check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<sst xmlns="http://schemas.openxmlformats.org/spreadsheetml/2006/main" count="70" uniqueCount="64">
  <si>
    <t xml:space="preserve">Wedding Planning Checklist &amp; 12-Month Timeline</t>
  </si>
  <si>
    <t xml:space="preserve">Simple Sheets Co. — Excel + Google Sheets</t>
  </si>
  <si>
    <t xml:space="preserve">Setup</t>
  </si>
  <si>
    <t xml:space="preserve">1. Enter your wedding date at the top. Every task's target date calculates from it.</t>
  </si>
  <si>
    <t xml:space="preserve">2. Tick Done as you go. The status column flags anything overdue.</t>
  </si>
  <si>
    <t xml:space="preserve">3. Add your own tasks at the bottom; set 'months before' and it slots in.</t>
  </si>
  <si>
    <t xml:space="preserve">Conventions</t>
  </si>
  <si>
    <t xml:space="preserve">• Yellow cells with blue text are inputs. Type over the sample numbers.</t>
  </si>
  <si>
    <t xml:space="preserve">• Black text is a formula. Leave it alone unless you know what you're changing.</t>
  </si>
  <si>
    <t xml:space="preserve">• Green text pulls from another tab.</t>
  </si>
  <si>
    <t xml:space="preserve">• Works in Excel 2016+ and Google Sheets (File &gt; Import &gt; Upload &gt; Replace). No macros.</t>
  </si>
  <si>
    <t xml:space="preserve">For planning and educational use only. Not financial, legal, or tax advice. Every number is an estimate you should verify for your own business.</t>
  </si>
  <si>
    <t xml:space="preserve">Wedding Countdown</t>
  </si>
  <si>
    <t xml:space="preserve">Everything on the list, and how close you are.</t>
  </si>
  <si>
    <t xml:space="preserve">DAYS TO THE WEDDING</t>
  </si>
  <si>
    <t xml:space="preserve">TASKS DONE</t>
  </si>
  <si>
    <t xml:space="preserve">TASKS LEFT</t>
  </si>
  <si>
    <t xml:space="preserve">OVERDUE</t>
  </si>
  <si>
    <t xml:space="preserve">DUE IN NEXT 30 DAYS</t>
  </si>
  <si>
    <t xml:space="preserve">WEDDING DATE</t>
  </si>
  <si>
    <t xml:space="preserve">Progress</t>
  </si>
  <si>
    <t xml:space="preserve">Status</t>
  </si>
  <si>
    <t xml:space="preserve">Done</t>
  </si>
  <si>
    <t xml:space="preserve">Overdue</t>
  </si>
  <si>
    <t xml:space="preserve">Next up (not done, soonest first)</t>
  </si>
  <si>
    <t xml:space="preserve">Upcoming</t>
  </si>
  <si>
    <t xml:space="preserve">Wedding Checklist</t>
  </si>
  <si>
    <t xml:space="preserve">How to use: type your numbers in the yellow cells (blue text). Everything else calculates.</t>
  </si>
  <si>
    <t xml:space="preserve">Wedding date (yyyy-mm-dd)</t>
  </si>
  <si>
    <t xml:space="preserve">2027-05-15</t>
  </si>
  <si>
    <t xml:space="preserve">Task</t>
  </si>
  <si>
    <t xml:space="preserve">Months before</t>
  </si>
  <si>
    <t xml:space="preserve">Target date</t>
  </si>
  <si>
    <t xml:space="preserve">Done (Y)</t>
  </si>
  <si>
    <t xml:space="preserve">Owner</t>
  </si>
  <si>
    <t xml:space="preserve">Notes</t>
  </si>
  <si>
    <t xml:space="preserve">pending #</t>
  </si>
  <si>
    <t xml:space="preserve">Set budget &amp; guest count</t>
  </si>
  <si>
    <t xml:space="preserve">Y</t>
  </si>
  <si>
    <t xml:space="preserve">Book venue</t>
  </si>
  <si>
    <t xml:space="preserve">Hire planner (optional)</t>
  </si>
  <si>
    <t xml:space="preserve">Book photographer / videographer</t>
  </si>
  <si>
    <t xml:space="preserve">Book caterer</t>
  </si>
  <si>
    <t xml:space="preserve">Book DJ / band</t>
  </si>
  <si>
    <t xml:space="preserve">Choose wedding party</t>
  </si>
  <si>
    <t xml:space="preserve">Order dress / suit</t>
  </si>
  <si>
    <t xml:space="preserve">Book florist</t>
  </si>
  <si>
    <t xml:space="preserve">Book officiant</t>
  </si>
  <si>
    <t xml:space="preserve">Send save-the-dates</t>
  </si>
  <si>
    <t xml:space="preserve">Book hotel room blocks</t>
  </si>
  <si>
    <t xml:space="preserve">Order invitations</t>
  </si>
  <si>
    <t xml:space="preserve">Plan honeymoon</t>
  </si>
  <si>
    <t xml:space="preserve">Book hair &amp; makeup</t>
  </si>
  <si>
    <t xml:space="preserve">Order cake</t>
  </si>
  <si>
    <t xml:space="preserve">Buy rings</t>
  </si>
  <si>
    <t xml:space="preserve">Mail invitations</t>
  </si>
  <si>
    <t xml:space="preserve">Finalize menu &amp; tasting</t>
  </si>
  <si>
    <t xml:space="preserve">Marriage license (check state timing)</t>
  </si>
  <si>
    <t xml:space="preserve">Final headcount to caterer</t>
  </si>
  <si>
    <t xml:space="preserve">Seating chart</t>
  </si>
  <si>
    <t xml:space="preserve">Confirm all vendors</t>
  </si>
  <si>
    <t xml:space="preserve">Pay final balances</t>
  </si>
  <si>
    <t xml:space="preserve">Tasks done</t>
  </si>
  <si>
    <t xml:space="preserve">Days to the wedding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</si>
</sst>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;\(#,##0\);\-"/>
    <numFmt numFmtId="166" formatCode="@"/>
    <numFmt numFmtId="167" formatCode="#,##0.00;\(#,##0.00\);\-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2C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20"/>
      <color rgb="FF1F2A2C"/>
      <name val="Arial"/>
      <family val="0"/>
      <charset val="1"/>
    </font>
    <font>
      <i val="true"/>
      <sz val="10"/>
      <color rgb="FF6B7A7C"/>
      <name val="Arial"/>
      <family val="0"/>
      <charset val="1"/>
    </font>
    <font>
      <b val="true"/>
      <sz val="9"/>
      <color rgb="FF6B7A7C"/>
      <name val="Arial"/>
      <family val="0"/>
      <charset val="1"/>
    </font>
    <font>
      <b val="true"/>
      <sz val="20"/>
      <color rgb="FFC7813F"/>
      <name val="Arial"/>
      <family val="0"/>
      <charset val="1"/>
    </font>
    <font>
      <b val="true"/>
      <sz val="20"/>
      <color rgb="FF2E6F73"/>
      <name val="Arial"/>
      <family val="0"/>
      <charset val="1"/>
    </font>
    <font>
      <b val="true"/>
      <sz val="20"/>
      <color rgb="FFB23B3B"/>
      <name val="Arial"/>
      <family val="0"/>
      <charset val="1"/>
    </font>
    <font>
      <sz val="9"/>
      <color rgb="FF6B7A7C"/>
      <name val="Arial"/>
      <family val="0"/>
      <charset val="1"/>
    </font>
    <font>
      <sz val="12"/>
      <color rgb="FF2E6F73"/>
      <name val="Arial"/>
      <family val="0"/>
      <charset val="1"/>
    </font>
    <font>
      <b val="true"/>
      <sz val="11"/>
      <color rgb="FF1F2A2C"/>
      <name val="Arial"/>
      <family val="0"/>
      <charset val="1"/>
    </font>
    <font>
      <sz val="10"/>
      <color rgb="FF1F2A2C"/>
      <name val="Arial"/>
      <family val="0"/>
      <charset val="1"/>
    </font>
    <font>
      <sz val="10"/>
      <color rgb="FF6B7A7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8"/>
      <color rgb="FF6B7A7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F1EC"/>
        <bgColor rgb="FFFBF6E9"/>
      </patternFill>
    </fill>
    <fill>
      <patternFill patternType="solid">
        <fgColor rgb="FFFFE9A8"/>
        <bgColor rgb="FFFBF6E9"/>
      </patternFill>
    </fill>
    <fill>
      <patternFill patternType="solid">
        <fgColor rgb="FF2E6F73"/>
        <bgColor rgb="FF008080"/>
      </patternFill>
    </fill>
    <fill>
      <patternFill patternType="solid">
        <fgColor rgb="FFFBF6E9"/>
        <bgColor rgb="FFF4F1E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4CC"/>
      </left>
      <right style="thin">
        <color rgb="FFD9D4CC"/>
      </right>
      <top style="thin">
        <color rgb="FFD9D4CC"/>
      </top>
      <bottom/>
      <diagonal/>
    </border>
    <border diagonalUp="false" diagonalDown="false">
      <left style="thin">
        <color rgb="FFD9D4CC"/>
      </left>
      <right style="thin">
        <color rgb="FFD9D4CC"/>
      </right>
      <top/>
      <bottom style="thin">
        <color rgb="FFD9D4CC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0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12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1" fillId="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5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F73"/>
      <rgbColor rgb="FFBFBFBF"/>
      <rgbColor rgb="FF6B7A7C"/>
      <rgbColor rgb="FF9999FF"/>
      <rgbColor rgb="FFB23B3B"/>
      <rgbColor rgb="FFFBF6E9"/>
      <rgbColor rgb="FFF9F9F9"/>
      <rgbColor rgb="FF660066"/>
      <rgbColor rgb="FFC7813F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4F1EC"/>
      <rgbColor rgb="FFCCFFCC"/>
      <rgbColor rgb="FFFFE9A8"/>
      <rgbColor rgb="FF99CCFF"/>
      <rgbColor rgb="FFFF99CC"/>
      <rgbColor rgb="FFCC99FF"/>
      <rgbColor rgb="FFD9D4CC"/>
      <rgbColor rgb="FF4F81BD"/>
      <rgbColor rgb="FF33CCCC"/>
      <rgbColor rgb="FF99CC00"/>
      <rgbColor rgb="FFFFCC00"/>
      <rgbColor rgb="FFFF9900"/>
      <rgbColor rgb="FFFF6600"/>
      <rgbColor rgb="FF666666"/>
      <rgbColor rgb="FFB8B2A7"/>
      <rgbColor rgb="FF003366"/>
      <rgbColor rgb="FF339966"/>
      <rgbColor rgb="FF003300"/>
      <rgbColor rgb="FF333300"/>
      <rgbColor rgb="FF993300"/>
      <rgbColor rgb="FF993366"/>
      <rgbColor rgb="FF333399"/>
      <rgbColor rgb="FF1F2A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2e6f7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b23b3b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b8b2a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Dashboard!$N$14:$N$16</c:f>
              <c:strCache>
                <c:ptCount val="3"/>
                <c:pt idx="0">
                  <c:v>Done</c:v>
                </c:pt>
                <c:pt idx="1">
                  <c:v>Overdue</c:v>
                </c:pt>
                <c:pt idx="2">
                  <c:v>Upcoming</c:v>
                </c:pt>
              </c:strCache>
            </c:strRef>
          </c:cat>
          <c:val>
            <c:numRef>
              <c:f>Dashboard!$O$14:$O$16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16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11</xdr:row>
      <xdr:rowOff>70560</xdr:rowOff>
    </xdr:from>
    <xdr:to>
      <xdr:col>10</xdr:col>
      <xdr:colOff>132840</xdr:colOff>
      <xdr:row>26</xdr:row>
      <xdr:rowOff>92880</xdr:rowOff>
    </xdr:to>
    <xdr:graphicFrame>
      <xdr:nvGraphicFramePr>
        <xdr:cNvPr id="0" name="Chart 1"/>
        <xdr:cNvGraphicFramePr/>
      </xdr:nvGraphicFramePr>
      <xdr:xfrm>
        <a:off x="7201080" y="2400480"/>
        <a:ext cx="35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4" t="s">
        <v>10</v>
      </c>
    </row>
    <row r="15" customFormat="false" ht="15" hidden="false" customHeight="false" outlineLevel="0" collapsed="false">
      <c r="A15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O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19" min="2" style="0" width="13"/>
  </cols>
  <sheetData>
    <row r="2" customFormat="false" ht="24.45" hidden="false" customHeight="false" outlineLevel="0" collapsed="false">
      <c r="B2" s="5" t="s">
        <v>12</v>
      </c>
    </row>
    <row r="3" customFormat="false" ht="15" hidden="false" customHeight="false" outlineLevel="0" collapsed="false">
      <c r="B3" s="6" t="s">
        <v>13</v>
      </c>
    </row>
    <row r="5" customFormat="false" ht="15.75" hidden="false" customHeight="true" outlineLevel="0" collapsed="false">
      <c r="B5" s="7" t="s">
        <v>14</v>
      </c>
      <c r="C5" s="7"/>
      <c r="D5" s="7"/>
      <c r="E5" s="7" t="s">
        <v>15</v>
      </c>
      <c r="F5" s="7"/>
      <c r="G5" s="7"/>
      <c r="H5" s="7" t="s">
        <v>16</v>
      </c>
      <c r="I5" s="7"/>
      <c r="J5" s="7"/>
      <c r="K5" s="7" t="s">
        <v>17</v>
      </c>
      <c r="L5" s="7"/>
      <c r="M5" s="7"/>
    </row>
    <row r="6" customFormat="false" ht="21.75" hidden="false" customHeight="true" outlineLevel="0" collapsed="false">
      <c r="B6" s="8" t="n">
        <f aca="false">Checklist!B48</f>
        <v>239</v>
      </c>
      <c r="C6" s="8"/>
      <c r="D6" s="8"/>
      <c r="E6" s="9" t="n">
        <f aca="false">COUNTIF(Checklist!D7:D45,"Y")</f>
        <v>5</v>
      </c>
      <c r="F6" s="9"/>
      <c r="G6" s="9"/>
      <c r="H6" s="9" t="n">
        <f aca="false">COUNTA(Checklist!A7:A45)-COUNTIF(Checklist!D7:D45,"Y")</f>
        <v>19</v>
      </c>
      <c r="I6" s="9"/>
      <c r="J6" s="9"/>
      <c r="K6" s="10" t="n">
        <f aca="false">Checklist!B47</f>
        <v>3</v>
      </c>
      <c r="L6" s="10"/>
      <c r="M6" s="10"/>
    </row>
    <row r="7" customFormat="false" ht="12" hidden="false" customHeight="true" outlineLevel="0" collapsed="false">
      <c r="B7" s="8"/>
      <c r="C7" s="8"/>
      <c r="D7" s="8"/>
      <c r="E7" s="9"/>
      <c r="F7" s="9"/>
      <c r="G7" s="9"/>
      <c r="H7" s="9"/>
      <c r="I7" s="9"/>
      <c r="J7" s="9"/>
      <c r="K7" s="10"/>
      <c r="L7" s="10"/>
      <c r="M7" s="10"/>
    </row>
    <row r="9" customFormat="false" ht="15.75" hidden="false" customHeight="true" outlineLevel="0" collapsed="false">
      <c r="B9" s="7" t="s">
        <v>18</v>
      </c>
      <c r="C9" s="7"/>
      <c r="D9" s="7"/>
      <c r="E9" s="7" t="s">
        <v>19</v>
      </c>
      <c r="F9" s="7"/>
      <c r="G9" s="7"/>
    </row>
    <row r="10" customFormat="false" ht="21.75" hidden="false" customHeight="true" outlineLevel="0" collapsed="false">
      <c r="B10" s="9" t="n">
        <f aca="false">COUNTIF(Checklist!E7:E45,"Due soon")</f>
        <v>2</v>
      </c>
      <c r="C10" s="9"/>
      <c r="D10" s="9"/>
      <c r="E10" s="11" t="str">
        <f aca="false">Checklist!B4</f>
        <v>2027-05-15</v>
      </c>
      <c r="F10" s="11"/>
      <c r="G10" s="11"/>
    </row>
    <row r="11" customFormat="false" ht="12" hidden="false" customHeight="true" outlineLevel="0" collapsed="false">
      <c r="B11" s="9"/>
      <c r="C11" s="9"/>
      <c r="D11" s="9"/>
      <c r="E11" s="11"/>
      <c r="F11" s="11"/>
      <c r="G11" s="11"/>
    </row>
    <row r="13" customFormat="false" ht="15" hidden="false" customHeight="false" outlineLevel="0" collapsed="false">
      <c r="B13" s="12" t="s">
        <v>20</v>
      </c>
      <c r="N13" s="13" t="s">
        <v>21</v>
      </c>
    </row>
    <row r="14" customFormat="false" ht="15" hidden="false" customHeight="false" outlineLevel="0" collapsed="false">
      <c r="B14" s="14" t="str">
        <f aca="false">REPT("█",ROUND(MIN(1,MAX(0,IF(COUNTA(Checklist!A7:A45)=0,0,COUNTIF(Checklist!D7:D45,"Y")/COUNTA(Checklist!A7:A45))))*40,0))&amp;REPT("░",40-ROUND(MIN(1,MAX(0,IF(COUNTA(Checklist!A7:A45)=0,0,COUNTIF(Checklist!D7:D45,"Y")/COUNTA(Checklist!A7:A45))))*40,0))&amp;"  "&amp;TEXT(IF(COUNTA(Checklist!A7:A45)=0,0,COUNTIF(Checklist!D7:D45,"Y")/COUNTA(Checklist!A7:A45)),"0%")</f>
        <v>████████░░░░░░░░░░░░░░░░░░░░░░░░░░░░░░░░  21%</v>
      </c>
      <c r="N14" s="15" t="s">
        <v>22</v>
      </c>
      <c r="O14" s="15" t="n">
        <f aca="false">COUNTIF(Checklist!D7:D45,"Y")</f>
        <v>5</v>
      </c>
    </row>
    <row r="15" customFormat="false" ht="15" hidden="false" customHeight="false" outlineLevel="0" collapsed="false">
      <c r="N15" s="0" t="s">
        <v>23</v>
      </c>
      <c r="O15" s="16" t="n">
        <f aca="false">Checklist!B47</f>
        <v>3</v>
      </c>
    </row>
    <row r="16" customFormat="false" ht="15" hidden="false" customHeight="false" outlineLevel="0" collapsed="false">
      <c r="B16" s="17" t="s">
        <v>24</v>
      </c>
      <c r="C16" s="17"/>
      <c r="D16" s="17"/>
      <c r="E16" s="17"/>
      <c r="N16" s="15" t="s">
        <v>25</v>
      </c>
      <c r="O16" s="15" t="n">
        <f aca="false">COUNTA(Checklist!A7:A45)-COUNTIF(Checklist!D7:D45,"Y")-Checklist!B47</f>
        <v>16</v>
      </c>
    </row>
    <row r="17" customFormat="false" ht="15" hidden="false" customHeight="false" outlineLevel="0" collapsed="false">
      <c r="B17" s="18" t="str">
        <f aca="false">IFERROR(INDEX(Checklist!$A$7:$A$45,MATCH(1,Checklist!$H$7:$H$45,0)),"")</f>
        <v>Book DJ / band</v>
      </c>
      <c r="F17" s="19" t="str">
        <f aca="false">IFERROR(INDEX(Checklist!$C$7:$C$45,MATCH(1,Checklist!$H$7:$H$45,0)),"")</f>
        <v>2026-08-14</v>
      </c>
    </row>
    <row r="18" customFormat="false" ht="15" hidden="false" customHeight="false" outlineLevel="0" collapsed="false">
      <c r="B18" s="18" t="str">
        <f aca="false">IFERROR(INDEX(Checklist!$A$7:$A$45,MATCH(2,Checklist!$H$7:$H$45,0)),"")</f>
        <v>Choose wedding party</v>
      </c>
      <c r="F18" s="19" t="str">
        <f aca="false">IFERROR(INDEX(Checklist!$C$7:$C$45,MATCH(2,Checklist!$H$7:$H$45,0)),"")</f>
        <v>2026-08-14</v>
      </c>
    </row>
    <row r="19" customFormat="false" ht="15" hidden="false" customHeight="false" outlineLevel="0" collapsed="false">
      <c r="B19" s="18" t="str">
        <f aca="false">IFERROR(INDEX(Checklist!$A$7:$A$45,MATCH(3,Checklist!$H$7:$H$45,0)),"")</f>
        <v>Order dress / suit</v>
      </c>
      <c r="F19" s="19" t="str">
        <f aca="false">IFERROR(INDEX(Checklist!$C$7:$C$45,MATCH(3,Checklist!$H$7:$H$45,0)),"")</f>
        <v>2026-09-13</v>
      </c>
    </row>
    <row r="20" customFormat="false" ht="15" hidden="false" customHeight="false" outlineLevel="0" collapsed="false">
      <c r="B20" s="18" t="str">
        <f aca="false">IFERROR(INDEX(Checklist!$A$7:$A$45,MATCH(4,Checklist!$H$7:$H$45,0)),"")</f>
        <v>Book florist</v>
      </c>
      <c r="F20" s="19" t="str">
        <f aca="false">IFERROR(INDEX(Checklist!$C$7:$C$45,MATCH(4,Checklist!$H$7:$H$45,0)),"")</f>
        <v>2026-10-14</v>
      </c>
    </row>
    <row r="21" customFormat="false" ht="15" hidden="false" customHeight="false" outlineLevel="0" collapsed="false">
      <c r="B21" s="18" t="str">
        <f aca="false">IFERROR(INDEX(Checklist!$A$7:$A$45,MATCH(5,Checklist!$H$7:$H$45,0)),"")</f>
        <v>Book officiant</v>
      </c>
      <c r="F21" s="19" t="str">
        <f aca="false">IFERROR(INDEX(Checklist!$C$7:$C$45,MATCH(5,Checklist!$H$7:$H$45,0)),"")</f>
        <v>2026-10-14</v>
      </c>
    </row>
    <row r="22" customFormat="false" ht="15" hidden="false" customHeight="false" outlineLevel="0" collapsed="false">
      <c r="B22" s="18" t="str">
        <f aca="false">IFERROR(INDEX(Checklist!$A$7:$A$45,MATCH(6,Checklist!$H$7:$H$45,0)),"")</f>
        <v>Send save-the-dates</v>
      </c>
      <c r="F22" s="19" t="str">
        <f aca="false">IFERROR(INDEX(Checklist!$C$7:$C$45,MATCH(6,Checklist!$H$7:$H$45,0)),"")</f>
        <v>2026-11-13</v>
      </c>
    </row>
  </sheetData>
  <mergeCells count="13">
    <mergeCell ref="B5:D5"/>
    <mergeCell ref="E5:G5"/>
    <mergeCell ref="H5:J5"/>
    <mergeCell ref="K5:M5"/>
    <mergeCell ref="B6:D7"/>
    <mergeCell ref="E6:G7"/>
    <mergeCell ref="H6:J7"/>
    <mergeCell ref="K6:M7"/>
    <mergeCell ref="B9:D9"/>
    <mergeCell ref="E9:G9"/>
    <mergeCell ref="B10:D11"/>
    <mergeCell ref="E10:G11"/>
    <mergeCell ref="B16:E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2"/>
    <col collapsed="false" customWidth="true" hidden="false" outlineLevel="0" max="4" min="4" style="0" width="9"/>
    <col collapsed="false" customWidth="true" hidden="false" outlineLevel="0" max="6" min="5" style="0" width="12"/>
    <col collapsed="false" customWidth="true" hidden="false" outlineLevel="0" max="7" min="7" style="0" width="30"/>
  </cols>
  <sheetData>
    <row r="1" customFormat="false" ht="17.35" hidden="false" customHeight="false" outlineLevel="0" collapsed="false">
      <c r="A1" s="1" t="s">
        <v>26</v>
      </c>
    </row>
    <row r="3" customFormat="false" ht="15" hidden="false" customHeight="false" outlineLevel="0" collapsed="false">
      <c r="A3" s="2" t="s">
        <v>27</v>
      </c>
    </row>
    <row r="4" customFormat="false" ht="15" hidden="false" customHeight="false" outlineLevel="0" collapsed="false">
      <c r="A4" s="20" t="s">
        <v>28</v>
      </c>
      <c r="B4" s="21" t="s">
        <v>29</v>
      </c>
    </row>
    <row r="6" customFormat="false" ht="30" hidden="false" customHeight="true" outlineLevel="0" collapsed="false">
      <c r="A6" s="22" t="s">
        <v>30</v>
      </c>
      <c r="B6" s="22" t="s">
        <v>31</v>
      </c>
      <c r="C6" s="22" t="s">
        <v>32</v>
      </c>
      <c r="D6" s="22" t="s">
        <v>33</v>
      </c>
      <c r="E6" s="22" t="s">
        <v>21</v>
      </c>
      <c r="F6" s="22" t="s">
        <v>34</v>
      </c>
      <c r="G6" s="22" t="s">
        <v>35</v>
      </c>
      <c r="H6" s="23" t="s">
        <v>36</v>
      </c>
    </row>
    <row r="7" customFormat="false" ht="15" hidden="false" customHeight="false" outlineLevel="0" collapsed="false">
      <c r="A7" s="24" t="s">
        <v>37</v>
      </c>
      <c r="B7" s="25" t="n">
        <v>12</v>
      </c>
      <c r="C7" s="20" t="str">
        <f aca="false">TEXT(DATEVALUE($B$4)-B7*30.4,"yyyy-mm-dd")</f>
        <v>2026-05-15</v>
      </c>
      <c r="D7" s="24" t="s">
        <v>38</v>
      </c>
      <c r="E7" s="20" t="str">
        <f aca="true">IF(D7="Y","Done",IF(DATEVALUE(C7)&lt;TODAY(),"OVERDUE",IF(DATEVALUE(C7)-TODAY()&lt;=30,"Due soon","")))</f>
        <v>Done</v>
      </c>
      <c r="F7" s="24"/>
      <c r="G7" s="24"/>
      <c r="H7" s="23" t="str">
        <f aca="false">IF(AND(A7&lt;&gt;"",D7&lt;&gt;"Y"),COUNTIFS($A$7:A7,"&lt;&gt;",$D$7:D7,"&lt;&gt;Y"),"")</f>
        <v/>
      </c>
    </row>
    <row r="8" customFormat="false" ht="15" hidden="false" customHeight="false" outlineLevel="0" collapsed="false">
      <c r="A8" s="24" t="s">
        <v>39</v>
      </c>
      <c r="B8" s="25" t="n">
        <v>12</v>
      </c>
      <c r="C8" s="20" t="str">
        <f aca="false">TEXT(DATEVALUE($B$4)-B8*30.4,"yyyy-mm-dd")</f>
        <v>2026-05-15</v>
      </c>
      <c r="D8" s="24" t="s">
        <v>38</v>
      </c>
      <c r="E8" s="20" t="str">
        <f aca="true">IF(D8="Y","Done",IF(DATEVALUE(C8)&lt;TODAY(),"OVERDUE",IF(DATEVALUE(C8)-TODAY()&lt;=30,"Due soon","")))</f>
        <v>Done</v>
      </c>
      <c r="F8" s="24"/>
      <c r="G8" s="24"/>
      <c r="H8" s="23" t="str">
        <f aca="false">IF(AND(A8&lt;&gt;"",D8&lt;&gt;"Y"),COUNTIFS($A$7:A8,"&lt;&gt;",$D$7:D8,"&lt;&gt;Y"),"")</f>
        <v/>
      </c>
    </row>
    <row r="9" customFormat="false" ht="15" hidden="false" customHeight="false" outlineLevel="0" collapsed="false">
      <c r="A9" s="24" t="s">
        <v>40</v>
      </c>
      <c r="B9" s="25" t="n">
        <v>11</v>
      </c>
      <c r="C9" s="20" t="str">
        <f aca="false">TEXT(DATEVALUE($B$4)-B9*30.4,"yyyy-mm-dd")</f>
        <v>2026-06-14</v>
      </c>
      <c r="D9" s="24" t="s">
        <v>38</v>
      </c>
      <c r="E9" s="20" t="str">
        <f aca="true">IF(D9="Y","Done",IF(DATEVALUE(C9)&lt;TODAY(),"OVERDUE",IF(DATEVALUE(C9)-TODAY()&lt;=30,"Due soon","")))</f>
        <v>Done</v>
      </c>
      <c r="F9" s="24"/>
      <c r="G9" s="24"/>
      <c r="H9" s="23" t="str">
        <f aca="false">IF(AND(A9&lt;&gt;"",D9&lt;&gt;"Y"),COUNTIFS($A$7:A9,"&lt;&gt;",$D$7:D9,"&lt;&gt;Y"),"")</f>
        <v/>
      </c>
    </row>
    <row r="10" customFormat="false" ht="15" hidden="false" customHeight="false" outlineLevel="0" collapsed="false">
      <c r="A10" s="24" t="s">
        <v>41</v>
      </c>
      <c r="B10" s="25" t="n">
        <v>10</v>
      </c>
      <c r="C10" s="20" t="str">
        <f aca="false">TEXT(DATEVALUE($B$4)-B10*30.4,"yyyy-mm-dd")</f>
        <v>2026-07-15</v>
      </c>
      <c r="D10" s="24" t="s">
        <v>38</v>
      </c>
      <c r="E10" s="20" t="str">
        <f aca="true">IF(D10="Y","Done",IF(DATEVALUE(C10)&lt;TODAY(),"OVERDUE",IF(DATEVALUE(C10)-TODAY()&lt;=30,"Due soon","")))</f>
        <v>Done</v>
      </c>
      <c r="F10" s="24"/>
      <c r="G10" s="24"/>
      <c r="H10" s="23" t="str">
        <f aca="false">IF(AND(A10&lt;&gt;"",D10&lt;&gt;"Y"),COUNTIFS($A$7:A10,"&lt;&gt;",$D$7:D10,"&lt;&gt;Y"),"")</f>
        <v/>
      </c>
    </row>
    <row r="11" customFormat="false" ht="15" hidden="false" customHeight="false" outlineLevel="0" collapsed="false">
      <c r="A11" s="24" t="s">
        <v>42</v>
      </c>
      <c r="B11" s="25" t="n">
        <v>10</v>
      </c>
      <c r="C11" s="20" t="str">
        <f aca="false">TEXT(DATEVALUE($B$4)-B11*30.4,"yyyy-mm-dd")</f>
        <v>2026-07-15</v>
      </c>
      <c r="D11" s="24" t="s">
        <v>38</v>
      </c>
      <c r="E11" s="20" t="str">
        <f aca="true">IF(D11="Y","Done",IF(DATEVALUE(C11)&lt;TODAY(),"OVERDUE",IF(DATEVALUE(C11)-TODAY()&lt;=30,"Due soon","")))</f>
        <v>Done</v>
      </c>
      <c r="F11" s="24"/>
      <c r="G11" s="24"/>
      <c r="H11" s="23" t="str">
        <f aca="false">IF(AND(A11&lt;&gt;"",D11&lt;&gt;"Y"),COUNTIFS($A$7:A11,"&lt;&gt;",$D$7:D11,"&lt;&gt;Y"),"")</f>
        <v/>
      </c>
    </row>
    <row r="12" customFormat="false" ht="15" hidden="false" customHeight="false" outlineLevel="0" collapsed="false">
      <c r="A12" s="24" t="s">
        <v>43</v>
      </c>
      <c r="B12" s="25" t="n">
        <v>9</v>
      </c>
      <c r="C12" s="20" t="str">
        <f aca="false">TEXT(DATEVALUE($B$4)-B12*30.4,"yyyy-mm-dd")</f>
        <v>2026-08-14</v>
      </c>
      <c r="D12" s="24"/>
      <c r="E12" s="20" t="str">
        <f aca="true">IF(D12="Y","Done",IF(DATEVALUE(C12)&lt;TODAY(),"OVERDUE",IF(DATEVALUE(C12)-TODAY()&lt;=30,"Due soon","")))</f>
        <v>OVERDUE</v>
      </c>
      <c r="F12" s="24"/>
      <c r="G12" s="24"/>
      <c r="H12" s="23" t="n">
        <f aca="false">IF(AND(A12&lt;&gt;"",D12&lt;&gt;"Y"),COUNTIFS($A$7:A12,"&lt;&gt;",$D$7:D12,"&lt;&gt;Y"),"")</f>
        <v>1</v>
      </c>
    </row>
    <row r="13" customFormat="false" ht="15" hidden="false" customHeight="false" outlineLevel="0" collapsed="false">
      <c r="A13" s="24" t="s">
        <v>44</v>
      </c>
      <c r="B13" s="25" t="n">
        <v>9</v>
      </c>
      <c r="C13" s="20" t="str">
        <f aca="false">TEXT(DATEVALUE($B$4)-B13*30.4,"yyyy-mm-dd")</f>
        <v>2026-08-14</v>
      </c>
      <c r="D13" s="24"/>
      <c r="E13" s="20" t="str">
        <f aca="true">IF(D13="Y","Done",IF(DATEVALUE(C13)&lt;TODAY(),"OVERDUE",IF(DATEVALUE(C13)-TODAY()&lt;=30,"Due soon","")))</f>
        <v>OVERDUE</v>
      </c>
      <c r="F13" s="24"/>
      <c r="G13" s="24"/>
      <c r="H13" s="23" t="n">
        <f aca="false">IF(AND(A13&lt;&gt;"",D13&lt;&gt;"Y"),COUNTIFS($A$7:A13,"&lt;&gt;",$D$7:D13,"&lt;&gt;Y"),"")</f>
        <v>2</v>
      </c>
    </row>
    <row r="14" customFormat="false" ht="15" hidden="false" customHeight="false" outlineLevel="0" collapsed="false">
      <c r="A14" s="24" t="s">
        <v>45</v>
      </c>
      <c r="B14" s="25" t="n">
        <v>8</v>
      </c>
      <c r="C14" s="20" t="str">
        <f aca="false">TEXT(DATEVALUE($B$4)-B14*30.4,"yyyy-mm-dd")</f>
        <v>2026-09-13</v>
      </c>
      <c r="D14" s="24"/>
      <c r="E14" s="20" t="str">
        <f aca="true">IF(D14="Y","Done",IF(DATEVALUE(C14)&lt;TODAY(),"OVERDUE",IF(DATEVALUE(C14)-TODAY()&lt;=30,"Due soon","")))</f>
        <v>OVERDUE</v>
      </c>
      <c r="F14" s="24"/>
      <c r="G14" s="24"/>
      <c r="H14" s="23" t="n">
        <f aca="false">IF(AND(A14&lt;&gt;"",D14&lt;&gt;"Y"),COUNTIFS($A$7:A14,"&lt;&gt;",$D$7:D14,"&lt;&gt;Y"),"")</f>
        <v>3</v>
      </c>
    </row>
    <row r="15" customFormat="false" ht="15" hidden="false" customHeight="false" outlineLevel="0" collapsed="false">
      <c r="A15" s="24" t="s">
        <v>46</v>
      </c>
      <c r="B15" s="25" t="n">
        <v>7</v>
      </c>
      <c r="C15" s="20" t="str">
        <f aca="false">TEXT(DATEVALUE($B$4)-B15*30.4,"yyyy-mm-dd")</f>
        <v>2026-10-14</v>
      </c>
      <c r="D15" s="24"/>
      <c r="E15" s="20" t="str">
        <f aca="true">IF(D15="Y","Done",IF(DATEVALUE(C15)&lt;TODAY(),"OVERDUE",IF(DATEVALUE(C15)-TODAY()&lt;=30,"Due soon","")))</f>
        <v>Due soon</v>
      </c>
      <c r="F15" s="24"/>
      <c r="G15" s="24"/>
      <c r="H15" s="23" t="n">
        <f aca="false">IF(AND(A15&lt;&gt;"",D15&lt;&gt;"Y"),COUNTIFS($A$7:A15,"&lt;&gt;",$D$7:D15,"&lt;&gt;Y"),"")</f>
        <v>4</v>
      </c>
    </row>
    <row r="16" customFormat="false" ht="15" hidden="false" customHeight="false" outlineLevel="0" collapsed="false">
      <c r="A16" s="24" t="s">
        <v>47</v>
      </c>
      <c r="B16" s="25" t="n">
        <v>7</v>
      </c>
      <c r="C16" s="20" t="str">
        <f aca="false">TEXT(DATEVALUE($B$4)-B16*30.4,"yyyy-mm-dd")</f>
        <v>2026-10-14</v>
      </c>
      <c r="D16" s="24"/>
      <c r="E16" s="20" t="str">
        <f aca="true">IF(D16="Y","Done",IF(DATEVALUE(C16)&lt;TODAY(),"OVERDUE",IF(DATEVALUE(C16)-TODAY()&lt;=30,"Due soon","")))</f>
        <v>Due soon</v>
      </c>
      <c r="F16" s="24"/>
      <c r="G16" s="24"/>
      <c r="H16" s="23" t="n">
        <f aca="false">IF(AND(A16&lt;&gt;"",D16&lt;&gt;"Y"),COUNTIFS($A$7:A16,"&lt;&gt;",$D$7:D16,"&lt;&gt;Y"),"")</f>
        <v>5</v>
      </c>
    </row>
    <row r="17" customFormat="false" ht="15" hidden="false" customHeight="false" outlineLevel="0" collapsed="false">
      <c r="A17" s="24" t="s">
        <v>48</v>
      </c>
      <c r="B17" s="25" t="n">
        <v>6</v>
      </c>
      <c r="C17" s="20" t="str">
        <f aca="false">TEXT(DATEVALUE($B$4)-B17*30.4,"yyyy-mm-dd")</f>
        <v>2026-11-13</v>
      </c>
      <c r="D17" s="24"/>
      <c r="E17" s="20" t="str">
        <f aca="true">IF(D17="Y","Done",IF(DATEVALUE(C17)&lt;TODAY(),"OVERDUE",IF(DATEVALUE(C17)-TODAY()&lt;=30,"Due soon","")))</f>
        <v/>
      </c>
      <c r="F17" s="24"/>
      <c r="G17" s="24"/>
      <c r="H17" s="23" t="n">
        <f aca="false">IF(AND(A17&lt;&gt;"",D17&lt;&gt;"Y"),COUNTIFS($A$7:A17,"&lt;&gt;",$D$7:D17,"&lt;&gt;Y"),"")</f>
        <v>6</v>
      </c>
    </row>
    <row r="18" customFormat="false" ht="15" hidden="false" customHeight="false" outlineLevel="0" collapsed="false">
      <c r="A18" s="24" t="s">
        <v>49</v>
      </c>
      <c r="B18" s="25" t="n">
        <v>6</v>
      </c>
      <c r="C18" s="20" t="str">
        <f aca="false">TEXT(DATEVALUE($B$4)-B18*30.4,"yyyy-mm-dd")</f>
        <v>2026-11-13</v>
      </c>
      <c r="D18" s="24"/>
      <c r="E18" s="20" t="str">
        <f aca="true">IF(D18="Y","Done",IF(DATEVALUE(C18)&lt;TODAY(),"OVERDUE",IF(DATEVALUE(C18)-TODAY()&lt;=30,"Due soon","")))</f>
        <v/>
      </c>
      <c r="F18" s="24"/>
      <c r="G18" s="24"/>
      <c r="H18" s="23" t="n">
        <f aca="false">IF(AND(A18&lt;&gt;"",D18&lt;&gt;"Y"),COUNTIFS($A$7:A18,"&lt;&gt;",$D$7:D18,"&lt;&gt;Y"),"")</f>
        <v>7</v>
      </c>
    </row>
    <row r="19" customFormat="false" ht="15" hidden="false" customHeight="false" outlineLevel="0" collapsed="false">
      <c r="A19" s="24" t="s">
        <v>50</v>
      </c>
      <c r="B19" s="25" t="n">
        <v>5</v>
      </c>
      <c r="C19" s="20" t="str">
        <f aca="false">TEXT(DATEVALUE($B$4)-B19*30.4,"yyyy-mm-dd")</f>
        <v>2026-12-14</v>
      </c>
      <c r="D19" s="24"/>
      <c r="E19" s="20" t="str">
        <f aca="true">IF(D19="Y","Done",IF(DATEVALUE(C19)&lt;TODAY(),"OVERDUE",IF(DATEVALUE(C19)-TODAY()&lt;=30,"Due soon","")))</f>
        <v/>
      </c>
      <c r="F19" s="24"/>
      <c r="G19" s="24"/>
      <c r="H19" s="23" t="n">
        <f aca="false">IF(AND(A19&lt;&gt;"",D19&lt;&gt;"Y"),COUNTIFS($A$7:A19,"&lt;&gt;",$D$7:D19,"&lt;&gt;Y"),"")</f>
        <v>8</v>
      </c>
    </row>
    <row r="20" customFormat="false" ht="15" hidden="false" customHeight="false" outlineLevel="0" collapsed="false">
      <c r="A20" s="24" t="s">
        <v>51</v>
      </c>
      <c r="B20" s="25" t="n">
        <v>5</v>
      </c>
      <c r="C20" s="20" t="str">
        <f aca="false">TEXT(DATEVALUE($B$4)-B20*30.4,"yyyy-mm-dd")</f>
        <v>2026-12-14</v>
      </c>
      <c r="D20" s="24"/>
      <c r="E20" s="20" t="str">
        <f aca="true">IF(D20="Y","Done",IF(DATEVALUE(C20)&lt;TODAY(),"OVERDUE",IF(DATEVALUE(C20)-TODAY()&lt;=30,"Due soon","")))</f>
        <v/>
      </c>
      <c r="F20" s="24"/>
      <c r="G20" s="24"/>
      <c r="H20" s="23" t="n">
        <f aca="false">IF(AND(A20&lt;&gt;"",D20&lt;&gt;"Y"),COUNTIFS($A$7:A20,"&lt;&gt;",$D$7:D20,"&lt;&gt;Y"),"")</f>
        <v>9</v>
      </c>
    </row>
    <row r="21" customFormat="false" ht="15" hidden="false" customHeight="false" outlineLevel="0" collapsed="false">
      <c r="A21" s="24" t="s">
        <v>52</v>
      </c>
      <c r="B21" s="25" t="n">
        <v>4</v>
      </c>
      <c r="C21" s="20" t="str">
        <f aca="false">TEXT(DATEVALUE($B$4)-B21*30.4,"yyyy-mm-dd")</f>
        <v>2027-01-13</v>
      </c>
      <c r="D21" s="24"/>
      <c r="E21" s="20" t="str">
        <f aca="true">IF(D21="Y","Done",IF(DATEVALUE(C21)&lt;TODAY(),"OVERDUE",IF(DATEVALUE(C21)-TODAY()&lt;=30,"Due soon","")))</f>
        <v/>
      </c>
      <c r="F21" s="24"/>
      <c r="G21" s="24"/>
      <c r="H21" s="23" t="n">
        <f aca="false">IF(AND(A21&lt;&gt;"",D21&lt;&gt;"Y"),COUNTIFS($A$7:A21,"&lt;&gt;",$D$7:D21,"&lt;&gt;Y"),"")</f>
        <v>10</v>
      </c>
    </row>
    <row r="22" customFormat="false" ht="15" hidden="false" customHeight="false" outlineLevel="0" collapsed="false">
      <c r="A22" s="24" t="s">
        <v>53</v>
      </c>
      <c r="B22" s="25" t="n">
        <v>4</v>
      </c>
      <c r="C22" s="20" t="str">
        <f aca="false">TEXT(DATEVALUE($B$4)-B22*30.4,"yyyy-mm-dd")</f>
        <v>2027-01-13</v>
      </c>
      <c r="D22" s="24"/>
      <c r="E22" s="20" t="str">
        <f aca="true">IF(D22="Y","Done",IF(DATEVALUE(C22)&lt;TODAY(),"OVERDUE",IF(DATEVALUE(C22)-TODAY()&lt;=30,"Due soon","")))</f>
        <v/>
      </c>
      <c r="F22" s="24"/>
      <c r="G22" s="24"/>
      <c r="H22" s="23" t="n">
        <f aca="false">IF(AND(A22&lt;&gt;"",D22&lt;&gt;"Y"),COUNTIFS($A$7:A22,"&lt;&gt;",$D$7:D22,"&lt;&gt;Y"),"")</f>
        <v>11</v>
      </c>
    </row>
    <row r="23" customFormat="false" ht="15" hidden="false" customHeight="false" outlineLevel="0" collapsed="false">
      <c r="A23" s="24" t="s">
        <v>54</v>
      </c>
      <c r="B23" s="25" t="n">
        <v>4</v>
      </c>
      <c r="C23" s="20" t="str">
        <f aca="false">TEXT(DATEVALUE($B$4)-B23*30.4,"yyyy-mm-dd")</f>
        <v>2027-01-13</v>
      </c>
      <c r="D23" s="24"/>
      <c r="E23" s="20" t="str">
        <f aca="true">IF(D23="Y","Done",IF(DATEVALUE(C23)&lt;TODAY(),"OVERDUE",IF(DATEVALUE(C23)-TODAY()&lt;=30,"Due soon","")))</f>
        <v/>
      </c>
      <c r="F23" s="24"/>
      <c r="G23" s="24"/>
      <c r="H23" s="23" t="n">
        <f aca="false">IF(AND(A23&lt;&gt;"",D23&lt;&gt;"Y"),COUNTIFS($A$7:A23,"&lt;&gt;",$D$7:D23,"&lt;&gt;Y"),"")</f>
        <v>12</v>
      </c>
    </row>
    <row r="24" customFormat="false" ht="15" hidden="false" customHeight="false" outlineLevel="0" collapsed="false">
      <c r="A24" s="24" t="s">
        <v>55</v>
      </c>
      <c r="B24" s="25" t="n">
        <v>2.5</v>
      </c>
      <c r="C24" s="20" t="str">
        <f aca="false">TEXT(DATEVALUE($B$4)-B24*30.4,"yyyy-mm-dd")</f>
        <v>2027-02-28</v>
      </c>
      <c r="D24" s="24"/>
      <c r="E24" s="20" t="str">
        <f aca="true">IF(D24="Y","Done",IF(DATEVALUE(C24)&lt;TODAY(),"OVERDUE",IF(DATEVALUE(C24)-TODAY()&lt;=30,"Due soon","")))</f>
        <v/>
      </c>
      <c r="F24" s="24"/>
      <c r="G24" s="24"/>
      <c r="H24" s="23" t="n">
        <f aca="false">IF(AND(A24&lt;&gt;"",D24&lt;&gt;"Y"),COUNTIFS($A$7:A24,"&lt;&gt;",$D$7:D24,"&lt;&gt;Y"),"")</f>
        <v>13</v>
      </c>
    </row>
    <row r="25" customFormat="false" ht="15" hidden="false" customHeight="false" outlineLevel="0" collapsed="false">
      <c r="A25" s="24" t="s">
        <v>56</v>
      </c>
      <c r="B25" s="25" t="n">
        <v>2</v>
      </c>
      <c r="C25" s="20" t="str">
        <f aca="false">TEXT(DATEVALUE($B$4)-B25*30.4,"yyyy-mm-dd")</f>
        <v>2027-03-15</v>
      </c>
      <c r="D25" s="24"/>
      <c r="E25" s="20" t="str">
        <f aca="true">IF(D25="Y","Done",IF(DATEVALUE(C25)&lt;TODAY(),"OVERDUE",IF(DATEVALUE(C25)-TODAY()&lt;=30,"Due soon","")))</f>
        <v/>
      </c>
      <c r="F25" s="24"/>
      <c r="G25" s="24"/>
      <c r="H25" s="23" t="n">
        <f aca="false">IF(AND(A25&lt;&gt;"",D25&lt;&gt;"Y"),COUNTIFS($A$7:A25,"&lt;&gt;",$D$7:D25,"&lt;&gt;Y"),"")</f>
        <v>14</v>
      </c>
    </row>
    <row r="26" customFormat="false" ht="15" hidden="false" customHeight="false" outlineLevel="0" collapsed="false">
      <c r="A26" s="24" t="s">
        <v>57</v>
      </c>
      <c r="B26" s="25" t="n">
        <v>1</v>
      </c>
      <c r="C26" s="20" t="str">
        <f aca="false">TEXT(DATEVALUE($B$4)-B26*30.4,"yyyy-mm-dd")</f>
        <v>2027-04-14</v>
      </c>
      <c r="D26" s="24"/>
      <c r="E26" s="20" t="str">
        <f aca="true">IF(D26="Y","Done",IF(DATEVALUE(C26)&lt;TODAY(),"OVERDUE",IF(DATEVALUE(C26)-TODAY()&lt;=30,"Due soon","")))</f>
        <v/>
      </c>
      <c r="F26" s="24"/>
      <c r="G26" s="24"/>
      <c r="H26" s="23" t="n">
        <f aca="false">IF(AND(A26&lt;&gt;"",D26&lt;&gt;"Y"),COUNTIFS($A$7:A26,"&lt;&gt;",$D$7:D26,"&lt;&gt;Y"),"")</f>
        <v>15</v>
      </c>
    </row>
    <row r="27" customFormat="false" ht="15" hidden="false" customHeight="false" outlineLevel="0" collapsed="false">
      <c r="A27" s="24" t="s">
        <v>58</v>
      </c>
      <c r="B27" s="25" t="n">
        <v>0.5</v>
      </c>
      <c r="C27" s="20" t="str">
        <f aca="false">TEXT(DATEVALUE($B$4)-B27*30.4,"yyyy-mm-dd")</f>
        <v>2027-04-29</v>
      </c>
      <c r="D27" s="24"/>
      <c r="E27" s="20" t="str">
        <f aca="true">IF(D27="Y","Done",IF(DATEVALUE(C27)&lt;TODAY(),"OVERDUE",IF(DATEVALUE(C27)-TODAY()&lt;=30,"Due soon","")))</f>
        <v/>
      </c>
      <c r="F27" s="24"/>
      <c r="G27" s="24"/>
      <c r="H27" s="23" t="n">
        <f aca="false">IF(AND(A27&lt;&gt;"",D27&lt;&gt;"Y"),COUNTIFS($A$7:A27,"&lt;&gt;",$D$7:D27,"&lt;&gt;Y"),"")</f>
        <v>16</v>
      </c>
    </row>
    <row r="28" customFormat="false" ht="15" hidden="false" customHeight="false" outlineLevel="0" collapsed="false">
      <c r="A28" s="24" t="s">
        <v>59</v>
      </c>
      <c r="B28" s="25" t="n">
        <v>0.5</v>
      </c>
      <c r="C28" s="20" t="str">
        <f aca="false">TEXT(DATEVALUE($B$4)-B28*30.4,"yyyy-mm-dd")</f>
        <v>2027-04-29</v>
      </c>
      <c r="D28" s="24"/>
      <c r="E28" s="20" t="str">
        <f aca="true">IF(D28="Y","Done",IF(DATEVALUE(C28)&lt;TODAY(),"OVERDUE",IF(DATEVALUE(C28)-TODAY()&lt;=30,"Due soon","")))</f>
        <v/>
      </c>
      <c r="F28" s="24"/>
      <c r="G28" s="24"/>
      <c r="H28" s="23" t="n">
        <f aca="false">IF(AND(A28&lt;&gt;"",D28&lt;&gt;"Y"),COUNTIFS($A$7:A28,"&lt;&gt;",$D$7:D28,"&lt;&gt;Y"),"")</f>
        <v>17</v>
      </c>
    </row>
    <row r="29" customFormat="false" ht="15" hidden="false" customHeight="false" outlineLevel="0" collapsed="false">
      <c r="A29" s="24" t="s">
        <v>60</v>
      </c>
      <c r="B29" s="25" t="n">
        <v>0.25</v>
      </c>
      <c r="C29" s="20" t="str">
        <f aca="false">TEXT(DATEVALUE($B$4)-B29*30.4,"yyyy-mm-dd")</f>
        <v>2027-05-07</v>
      </c>
      <c r="D29" s="24"/>
      <c r="E29" s="20" t="str">
        <f aca="true">IF(D29="Y","Done",IF(DATEVALUE(C29)&lt;TODAY(),"OVERDUE",IF(DATEVALUE(C29)-TODAY()&lt;=30,"Due soon","")))</f>
        <v/>
      </c>
      <c r="F29" s="24"/>
      <c r="G29" s="24"/>
      <c r="H29" s="23" t="n">
        <f aca="false">IF(AND(A29&lt;&gt;"",D29&lt;&gt;"Y"),COUNTIFS($A$7:A29,"&lt;&gt;",$D$7:D29,"&lt;&gt;Y"),"")</f>
        <v>18</v>
      </c>
    </row>
    <row r="30" customFormat="false" ht="15" hidden="false" customHeight="false" outlineLevel="0" collapsed="false">
      <c r="A30" s="24" t="s">
        <v>61</v>
      </c>
      <c r="B30" s="25" t="n">
        <v>0.1</v>
      </c>
      <c r="C30" s="20" t="str">
        <f aca="false">TEXT(DATEVALUE($B$4)-B30*30.4,"yyyy-mm-dd")</f>
        <v>2027-05-11</v>
      </c>
      <c r="D30" s="24"/>
      <c r="E30" s="20" t="str">
        <f aca="true">IF(D30="Y","Done",IF(DATEVALUE(C30)&lt;TODAY(),"OVERDUE",IF(DATEVALUE(C30)-TODAY()&lt;=30,"Due soon","")))</f>
        <v/>
      </c>
      <c r="F30" s="24"/>
      <c r="G30" s="24"/>
      <c r="H30" s="23" t="n">
        <f aca="false">IF(AND(A30&lt;&gt;"",D30&lt;&gt;"Y"),COUNTIFS($A$7:A30,"&lt;&gt;",$D$7:D30,"&lt;&gt;Y"),"")</f>
        <v>19</v>
      </c>
    </row>
    <row r="31" customFormat="false" ht="15" hidden="false" customHeight="false" outlineLevel="0" collapsed="false">
      <c r="A31" s="24"/>
      <c r="B31" s="25"/>
      <c r="C31" s="20" t="str">
        <f aca="false">IF(B31="","",TEXT(DATEVALUE($B$4)-B31*30.4,"yyyy-mm-dd"))</f>
        <v/>
      </c>
      <c r="D31" s="24"/>
      <c r="E31" s="20" t="str">
        <f aca="true">IF(A31="","",IF(D31="Y","Done",IF(DATEVALUE(C31)&lt;TODAY(),"OVERDUE",IF(DATEVALUE(C31)-TODAY()&lt;=30,"Due soon",""))))</f>
        <v/>
      </c>
      <c r="F31" s="24"/>
      <c r="G31" s="24"/>
      <c r="H31" s="23" t="str">
        <f aca="false">IF(AND(A31&lt;&gt;"",D31&lt;&gt;"Y"),COUNTIFS($A$7:A31,"&lt;&gt;",$D$7:D31,"&lt;&gt;Y"),"")</f>
        <v/>
      </c>
    </row>
    <row r="32" customFormat="false" ht="15" hidden="false" customHeight="false" outlineLevel="0" collapsed="false">
      <c r="A32" s="24"/>
      <c r="B32" s="25"/>
      <c r="C32" s="20" t="str">
        <f aca="false">IF(B32="","",TEXT(DATEVALUE($B$4)-B32*30.4,"yyyy-mm-dd"))</f>
        <v/>
      </c>
      <c r="D32" s="24"/>
      <c r="E32" s="20" t="str">
        <f aca="true">IF(A32="","",IF(D32="Y","Done",IF(DATEVALUE(C32)&lt;TODAY(),"OVERDUE",IF(DATEVALUE(C32)-TODAY()&lt;=30,"Due soon",""))))</f>
        <v/>
      </c>
      <c r="F32" s="24"/>
      <c r="G32" s="24"/>
      <c r="H32" s="23" t="str">
        <f aca="false">IF(AND(A32&lt;&gt;"",D32&lt;&gt;"Y"),COUNTIFS($A$7:A32,"&lt;&gt;",$D$7:D32,"&lt;&gt;Y"),"")</f>
        <v/>
      </c>
    </row>
    <row r="33" customFormat="false" ht="15" hidden="false" customHeight="false" outlineLevel="0" collapsed="false">
      <c r="A33" s="24"/>
      <c r="B33" s="25"/>
      <c r="C33" s="20" t="str">
        <f aca="false">IF(B33="","",TEXT(DATEVALUE($B$4)-B33*30.4,"yyyy-mm-dd"))</f>
        <v/>
      </c>
      <c r="D33" s="24"/>
      <c r="E33" s="20" t="str">
        <f aca="true">IF(A33="","",IF(D33="Y","Done",IF(DATEVALUE(C33)&lt;TODAY(),"OVERDUE",IF(DATEVALUE(C33)-TODAY()&lt;=30,"Due soon",""))))</f>
        <v/>
      </c>
      <c r="F33" s="24"/>
      <c r="G33" s="24"/>
      <c r="H33" s="23" t="str">
        <f aca="false">IF(AND(A33&lt;&gt;"",D33&lt;&gt;"Y"),COUNTIFS($A$7:A33,"&lt;&gt;",$D$7:D33,"&lt;&gt;Y"),"")</f>
        <v/>
      </c>
    </row>
    <row r="34" customFormat="false" ht="15" hidden="false" customHeight="false" outlineLevel="0" collapsed="false">
      <c r="A34" s="24"/>
      <c r="B34" s="25"/>
      <c r="C34" s="20" t="str">
        <f aca="false">IF(B34="","",TEXT(DATEVALUE($B$4)-B34*30.4,"yyyy-mm-dd"))</f>
        <v/>
      </c>
      <c r="D34" s="24"/>
      <c r="E34" s="20" t="str">
        <f aca="true">IF(A34="","",IF(D34="Y","Done",IF(DATEVALUE(C34)&lt;TODAY(),"OVERDUE",IF(DATEVALUE(C34)-TODAY()&lt;=30,"Due soon",""))))</f>
        <v/>
      </c>
      <c r="F34" s="24"/>
      <c r="G34" s="24"/>
      <c r="H34" s="23" t="str">
        <f aca="false">IF(AND(A34&lt;&gt;"",D34&lt;&gt;"Y"),COUNTIFS($A$7:A34,"&lt;&gt;",$D$7:D34,"&lt;&gt;Y"),"")</f>
        <v/>
      </c>
    </row>
    <row r="35" customFormat="false" ht="15" hidden="false" customHeight="false" outlineLevel="0" collapsed="false">
      <c r="A35" s="24"/>
      <c r="B35" s="25"/>
      <c r="C35" s="20" t="str">
        <f aca="false">IF(B35="","",TEXT(DATEVALUE($B$4)-B35*30.4,"yyyy-mm-dd"))</f>
        <v/>
      </c>
      <c r="D35" s="24"/>
      <c r="E35" s="20" t="str">
        <f aca="true">IF(A35="","",IF(D35="Y","Done",IF(DATEVALUE(C35)&lt;TODAY(),"OVERDUE",IF(DATEVALUE(C35)-TODAY()&lt;=30,"Due soon",""))))</f>
        <v/>
      </c>
      <c r="F35" s="24"/>
      <c r="G35" s="24"/>
      <c r="H35" s="23" t="str">
        <f aca="false">IF(AND(A35&lt;&gt;"",D35&lt;&gt;"Y"),COUNTIFS($A$7:A35,"&lt;&gt;",$D$7:D35,"&lt;&gt;Y"),"")</f>
        <v/>
      </c>
    </row>
    <row r="36" customFormat="false" ht="15" hidden="false" customHeight="false" outlineLevel="0" collapsed="false">
      <c r="A36" s="24"/>
      <c r="B36" s="25"/>
      <c r="C36" s="20" t="str">
        <f aca="false">IF(B36="","",TEXT(DATEVALUE($B$4)-B36*30.4,"yyyy-mm-dd"))</f>
        <v/>
      </c>
      <c r="D36" s="24"/>
      <c r="E36" s="20" t="str">
        <f aca="true">IF(A36="","",IF(D36="Y","Done",IF(DATEVALUE(C36)&lt;TODAY(),"OVERDUE",IF(DATEVALUE(C36)-TODAY()&lt;=30,"Due soon",""))))</f>
        <v/>
      </c>
      <c r="F36" s="24"/>
      <c r="G36" s="24"/>
      <c r="H36" s="23" t="str">
        <f aca="false">IF(AND(A36&lt;&gt;"",D36&lt;&gt;"Y"),COUNTIFS($A$7:A36,"&lt;&gt;",$D$7:D36,"&lt;&gt;Y"),"")</f>
        <v/>
      </c>
    </row>
    <row r="37" customFormat="false" ht="15" hidden="false" customHeight="false" outlineLevel="0" collapsed="false">
      <c r="A37" s="24"/>
      <c r="B37" s="25"/>
      <c r="C37" s="20" t="str">
        <f aca="false">IF(B37="","",TEXT(DATEVALUE($B$4)-B37*30.4,"yyyy-mm-dd"))</f>
        <v/>
      </c>
      <c r="D37" s="24"/>
      <c r="E37" s="20" t="str">
        <f aca="true">IF(A37="","",IF(D37="Y","Done",IF(DATEVALUE(C37)&lt;TODAY(),"OVERDUE",IF(DATEVALUE(C37)-TODAY()&lt;=30,"Due soon",""))))</f>
        <v/>
      </c>
      <c r="F37" s="24"/>
      <c r="G37" s="24"/>
      <c r="H37" s="23" t="str">
        <f aca="false">IF(AND(A37&lt;&gt;"",D37&lt;&gt;"Y"),COUNTIFS($A$7:A37,"&lt;&gt;",$D$7:D37,"&lt;&gt;Y"),"")</f>
        <v/>
      </c>
    </row>
    <row r="38" customFormat="false" ht="15" hidden="false" customHeight="false" outlineLevel="0" collapsed="false">
      <c r="A38" s="24"/>
      <c r="B38" s="25"/>
      <c r="C38" s="20" t="str">
        <f aca="false">IF(B38="","",TEXT(DATEVALUE($B$4)-B38*30.4,"yyyy-mm-dd"))</f>
        <v/>
      </c>
      <c r="D38" s="24"/>
      <c r="E38" s="20" t="str">
        <f aca="true">IF(A38="","",IF(D38="Y","Done",IF(DATEVALUE(C38)&lt;TODAY(),"OVERDUE",IF(DATEVALUE(C38)-TODAY()&lt;=30,"Due soon",""))))</f>
        <v/>
      </c>
      <c r="F38" s="24"/>
      <c r="G38" s="24"/>
      <c r="H38" s="23" t="str">
        <f aca="false">IF(AND(A38&lt;&gt;"",D38&lt;&gt;"Y"),COUNTIFS($A$7:A38,"&lt;&gt;",$D$7:D38,"&lt;&gt;Y"),"")</f>
        <v/>
      </c>
    </row>
    <row r="39" customFormat="false" ht="15" hidden="false" customHeight="false" outlineLevel="0" collapsed="false">
      <c r="A39" s="24"/>
      <c r="B39" s="25"/>
      <c r="C39" s="20" t="str">
        <f aca="false">IF(B39="","",TEXT(DATEVALUE($B$4)-B39*30.4,"yyyy-mm-dd"))</f>
        <v/>
      </c>
      <c r="D39" s="24"/>
      <c r="E39" s="20" t="str">
        <f aca="true">IF(A39="","",IF(D39="Y","Done",IF(DATEVALUE(C39)&lt;TODAY(),"OVERDUE",IF(DATEVALUE(C39)-TODAY()&lt;=30,"Due soon",""))))</f>
        <v/>
      </c>
      <c r="F39" s="24"/>
      <c r="G39" s="24"/>
      <c r="H39" s="23" t="str">
        <f aca="false">IF(AND(A39&lt;&gt;"",D39&lt;&gt;"Y"),COUNTIFS($A$7:A39,"&lt;&gt;",$D$7:D39,"&lt;&gt;Y"),"")</f>
        <v/>
      </c>
    </row>
    <row r="40" customFormat="false" ht="15" hidden="false" customHeight="false" outlineLevel="0" collapsed="false">
      <c r="A40" s="24"/>
      <c r="B40" s="25"/>
      <c r="C40" s="20" t="str">
        <f aca="false">IF(B40="","",TEXT(DATEVALUE($B$4)-B40*30.4,"yyyy-mm-dd"))</f>
        <v/>
      </c>
      <c r="D40" s="24"/>
      <c r="E40" s="20" t="str">
        <f aca="true">IF(A40="","",IF(D40="Y","Done",IF(DATEVALUE(C40)&lt;TODAY(),"OVERDUE",IF(DATEVALUE(C40)-TODAY()&lt;=30,"Due soon",""))))</f>
        <v/>
      </c>
      <c r="F40" s="24"/>
      <c r="G40" s="24"/>
      <c r="H40" s="23" t="str">
        <f aca="false">IF(AND(A40&lt;&gt;"",D40&lt;&gt;"Y"),COUNTIFS($A$7:A40,"&lt;&gt;",$D$7:D40,"&lt;&gt;Y"),"")</f>
        <v/>
      </c>
    </row>
    <row r="41" customFormat="false" ht="15" hidden="false" customHeight="false" outlineLevel="0" collapsed="false">
      <c r="A41" s="24"/>
      <c r="B41" s="25"/>
      <c r="C41" s="20" t="str">
        <f aca="false">IF(B41="","",TEXT(DATEVALUE($B$4)-B41*30.4,"yyyy-mm-dd"))</f>
        <v/>
      </c>
      <c r="D41" s="24"/>
      <c r="E41" s="20" t="str">
        <f aca="true">IF(A41="","",IF(D41="Y","Done",IF(DATEVALUE(C41)&lt;TODAY(),"OVERDUE",IF(DATEVALUE(C41)-TODAY()&lt;=30,"Due soon",""))))</f>
        <v/>
      </c>
      <c r="F41" s="24"/>
      <c r="G41" s="24"/>
      <c r="H41" s="23" t="str">
        <f aca="false">IF(AND(A41&lt;&gt;"",D41&lt;&gt;"Y"),COUNTIFS($A$7:A41,"&lt;&gt;",$D$7:D41,"&lt;&gt;Y"),"")</f>
        <v/>
      </c>
    </row>
    <row r="42" customFormat="false" ht="15" hidden="false" customHeight="false" outlineLevel="0" collapsed="false">
      <c r="A42" s="24"/>
      <c r="B42" s="25"/>
      <c r="C42" s="20" t="str">
        <f aca="false">IF(B42="","",TEXT(DATEVALUE($B$4)-B42*30.4,"yyyy-mm-dd"))</f>
        <v/>
      </c>
      <c r="D42" s="24"/>
      <c r="E42" s="20" t="str">
        <f aca="true">IF(A42="","",IF(D42="Y","Done",IF(DATEVALUE(C42)&lt;TODAY(),"OVERDUE",IF(DATEVALUE(C42)-TODAY()&lt;=30,"Due soon",""))))</f>
        <v/>
      </c>
      <c r="F42" s="24"/>
      <c r="G42" s="24"/>
      <c r="H42" s="23" t="str">
        <f aca="false">IF(AND(A42&lt;&gt;"",D42&lt;&gt;"Y"),COUNTIFS($A$7:A42,"&lt;&gt;",$D$7:D42,"&lt;&gt;Y"),"")</f>
        <v/>
      </c>
    </row>
    <row r="43" customFormat="false" ht="15" hidden="false" customHeight="false" outlineLevel="0" collapsed="false">
      <c r="A43" s="24"/>
      <c r="B43" s="25"/>
      <c r="C43" s="20" t="str">
        <f aca="false">IF(B43="","",TEXT(DATEVALUE($B$4)-B43*30.4,"yyyy-mm-dd"))</f>
        <v/>
      </c>
      <c r="D43" s="24"/>
      <c r="E43" s="20" t="str">
        <f aca="true">IF(A43="","",IF(D43="Y","Done",IF(DATEVALUE(C43)&lt;TODAY(),"OVERDUE",IF(DATEVALUE(C43)-TODAY()&lt;=30,"Due soon",""))))</f>
        <v/>
      </c>
      <c r="F43" s="24"/>
      <c r="G43" s="24"/>
      <c r="H43" s="23" t="str">
        <f aca="false">IF(AND(A43&lt;&gt;"",D43&lt;&gt;"Y"),COUNTIFS($A$7:A43,"&lt;&gt;",$D$7:D43,"&lt;&gt;Y"),"")</f>
        <v/>
      </c>
    </row>
    <row r="44" customFormat="false" ht="15" hidden="false" customHeight="false" outlineLevel="0" collapsed="false">
      <c r="A44" s="24"/>
      <c r="B44" s="25"/>
      <c r="C44" s="20" t="str">
        <f aca="false">IF(B44="","",TEXT(DATEVALUE($B$4)-B44*30.4,"yyyy-mm-dd"))</f>
        <v/>
      </c>
      <c r="D44" s="24"/>
      <c r="E44" s="20" t="str">
        <f aca="true">IF(A44="","",IF(D44="Y","Done",IF(DATEVALUE(C44)&lt;TODAY(),"OVERDUE",IF(DATEVALUE(C44)-TODAY()&lt;=30,"Due soon",""))))</f>
        <v/>
      </c>
      <c r="F44" s="24"/>
      <c r="G44" s="24"/>
      <c r="H44" s="23" t="str">
        <f aca="false">IF(AND(A44&lt;&gt;"",D44&lt;&gt;"Y"),COUNTIFS($A$7:A44,"&lt;&gt;",$D$7:D44,"&lt;&gt;Y"),"")</f>
        <v/>
      </c>
    </row>
    <row r="45" customFormat="false" ht="15" hidden="false" customHeight="false" outlineLevel="0" collapsed="false">
      <c r="A45" s="24"/>
      <c r="B45" s="25"/>
      <c r="C45" s="20" t="str">
        <f aca="false">IF(B45="","",TEXT(DATEVALUE($B$4)-B45*30.4,"yyyy-mm-dd"))</f>
        <v/>
      </c>
      <c r="D45" s="24"/>
      <c r="E45" s="20" t="str">
        <f aca="true">IF(A45="","",IF(D45="Y","Done",IF(DATEVALUE(C45)&lt;TODAY(),"OVERDUE",IF(DATEVALUE(C45)-TODAY()&lt;=30,"Due soon",""))))</f>
        <v/>
      </c>
      <c r="F45" s="24"/>
      <c r="G45" s="24"/>
      <c r="H45" s="23" t="str">
        <f aca="false">IF(AND(A45&lt;&gt;"",D45&lt;&gt;"Y"),COUNTIFS($A$7:A45,"&lt;&gt;",$D$7:D45,"&lt;&gt;Y"),"")</f>
        <v/>
      </c>
    </row>
    <row r="46" customFormat="false" ht="15" hidden="false" customHeight="false" outlineLevel="0" collapsed="false">
      <c r="A46" s="20" t="s">
        <v>62</v>
      </c>
      <c r="B46" s="20" t="str">
        <f aca="false">COUNTIF(D7:D45,"Y")&amp;" of "&amp;COUNTA(A7:A45)</f>
        <v>5 of 24</v>
      </c>
    </row>
    <row r="47" customFormat="false" ht="15" hidden="false" customHeight="false" outlineLevel="0" collapsed="false">
      <c r="A47" s="20" t="s">
        <v>23</v>
      </c>
      <c r="B47" s="26" t="n">
        <f aca="false">COUNTIF(E7:E45,"OVERDUE")</f>
        <v>3</v>
      </c>
    </row>
    <row r="48" customFormat="false" ht="15" hidden="false" customHeight="false" outlineLevel="0" collapsed="false">
      <c r="A48" s="20" t="s">
        <v>63</v>
      </c>
      <c r="B48" s="26" t="n">
        <f aca="true">DATEVALUE(B4)-TODAY()</f>
        <v>239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2026-09-18T06:32:01Z</dcterms:created>
  <dc:creator>openpyxl</dc:creator>
  <dc:description/>
  <dc:language>en-US</dc:language>
  <cp:lastModifiedBy/>
  <dcterms:modified xsi:type="dcterms:W3CDTF">2026-09-18T06:32:02Z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