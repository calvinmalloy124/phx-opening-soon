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tart Here" sheetId="1" state="visible" r:id="rId3"/>
    <sheet name="Dashboard" sheetId="2" state="visible" r:id="rId4"/>
    <sheet name="Details" sheetId="3" state="visible" r:id="rId5"/>
    <sheet name="Bud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<sst xmlns="http://schemas.openxmlformats.org/spreadsheetml/2006/main" count="99" uniqueCount="98">
  <si>
    <t xml:space="preserve">Monthly Budget Planner (Zero-Based)</t>
  </si>
  <si>
    <t xml:space="preserve">Simple Sheets Co. — Excel + Google Sheets</t>
  </si>
  <si>
    <t xml:space="preserve">Setup</t>
  </si>
  <si>
    <t xml:space="preserve">1. Enter income sources at the top of each month column, then plan every dollar into a category until 'Left to assign' is zero.</t>
  </si>
  <si>
    <t xml:space="preserve">2. Enter actual spend as the month goes. The Dashboard compares planned vs actual by category and shows your savings rate.</t>
  </si>
  <si>
    <t xml:space="preserve">3. 12 months are laid out side by side so you can see trends.</t>
  </si>
  <si>
    <t xml:space="preserve">Conventions</t>
  </si>
  <si>
    <t xml:space="preserve">• Yellow cells with blue text are inputs. Type over the sample numbers.</t>
  </si>
  <si>
    <t xml:space="preserve">• Black text is a formula. Leave it alone unless you know what you're changing.</t>
  </si>
  <si>
    <t xml:space="preserve">• Green text pulls from another tab.</t>
  </si>
  <si>
    <t xml:space="preserve">• Works in Excel 2016+ and Google Sheets (File &gt; Import &gt; Upload &gt; Replace). No macros.</t>
  </si>
  <si>
    <t xml:space="preserve">For planning and educational use only. Not financial, legal, or tax advice. Every number is an estimate you should verify for your own business.</t>
  </si>
  <si>
    <t xml:space="preserve">Money Dashboard</t>
  </si>
  <si>
    <t xml:space="preserve">Year to date: what came in, what went out, what you kept.</t>
  </si>
  <si>
    <t xml:space="preserve">INCOME (YTD ACTUAL)</t>
  </si>
  <si>
    <t xml:space="preserve">SPENT (YTD ACTUAL)</t>
  </si>
  <si>
    <t xml:space="preserve">SAVED (YTD)</t>
  </si>
  <si>
    <t xml:space="preserve">SAVINGS RATE</t>
  </si>
  <si>
    <t xml:space="preserve">BUDGETED (YTD)</t>
  </si>
  <si>
    <t xml:space="preserve">UNDER / (OVER) BUDGET</t>
  </si>
  <si>
    <t xml:space="preserve">Month</t>
  </si>
  <si>
    <t xml:space="preserve">Income</t>
  </si>
  <si>
    <t xml:space="preserve">Expenses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</si>
  <si>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</si>
  <si>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</si>
  <si>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</si>
  <si>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</si>
  <si>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</si>
  <si>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</si>
  <si>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</si>
  <si>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</si>
  <si>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</si>
  <si>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</si>
  <si>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</si>
  <si>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</si>
  <si>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Dashboard</t>
  </si>
  <si>
    <t xml:space="preserve">Planned vs actual, whole year.</t>
  </si>
  <si>
    <t xml:space="preserve">Category</t>
  </si>
  <si>
    <t xml:space="preserve">Planned (YTD)</t>
  </si>
  <si>
    <t xml:space="preserve">Actual (YTD)</t>
  </si>
  <si>
    <t xml:space="preserve">Difference</t>
  </si>
  <si>
    <t xml:space="preserve">% of actual spend</t>
  </si>
  <si>
    <t xml:space="preserve">TOTAL</t>
  </si>
  <si>
    <t xml:space="preserve">Income YTD (actual)</t>
  </si>
  <si>
    <t xml:space="preserve">Saved YTD (actual)</t>
  </si>
  <si>
    <t xml:space="preserve">Savings rate YTD</t>
  </si>
  <si>
    <t xml:space="preserve">Monthly Budget</t>
  </si>
  <si>
    <t xml:space="preserve">Planned vs actual, 12 months.</t>
  </si>
  <si>
    <t xml:space="preserve">How to use: type your numbers in the yellow cells (blue text). Everything else calculates.</t>
  </si>
  <si>
    <t xml:space="preserve">Jan plan</t>
  </si>
  <si>
    <t xml:space="preserve">Jan actual</t>
  </si>
  <si>
    <t xml:space="preserve">Feb plan</t>
  </si>
  <si>
    <t xml:space="preserve">Feb actual</t>
  </si>
  <si>
    <t xml:space="preserve">Mar plan</t>
  </si>
  <si>
    <t xml:space="preserve">Mar actual</t>
  </si>
  <si>
    <t xml:space="preserve">Apr plan</t>
  </si>
  <si>
    <t xml:space="preserve">Apr actual</t>
  </si>
  <si>
    <t xml:space="preserve">May plan</t>
  </si>
  <si>
    <t xml:space="preserve">May actual</t>
  </si>
  <si>
    <t xml:space="preserve">Jun plan</t>
  </si>
  <si>
    <t xml:space="preserve">Jun actual</t>
  </si>
  <si>
    <t xml:space="preserve">Jul plan</t>
  </si>
  <si>
    <t xml:space="preserve">Jul actual</t>
  </si>
  <si>
    <t xml:space="preserve">Aug plan</t>
  </si>
  <si>
    <t xml:space="preserve">Aug actual</t>
  </si>
  <si>
    <t xml:space="preserve">Sep plan</t>
  </si>
  <si>
    <t xml:space="preserve">Sep actual</t>
  </si>
  <si>
    <t xml:space="preserve">Oct plan</t>
  </si>
  <si>
    <t xml:space="preserve">Oct actual</t>
  </si>
  <si>
    <t xml:space="preserve">Nov plan</t>
  </si>
  <si>
    <t xml:space="preserve">Nov actual</t>
  </si>
  <si>
    <t xml:space="preserve">Dec plan</t>
  </si>
  <si>
    <t xml:space="preserve">Dec actual</t>
  </si>
  <si>
    <t xml:space="preserve">INCOME</t>
  </si>
  <si>
    <t xml:space="preserve">Paycheck 1</t>
  </si>
  <si>
    <t xml:space="preserve">Paycheck 2</t>
  </si>
  <si>
    <t xml:space="preserve">Side income</t>
  </si>
  <si>
    <t xml:space="preserve">Total income</t>
  </si>
  <si>
    <t xml:space="preserve">EXPENSES</t>
  </si>
  <si>
    <t xml:space="preserve">Rent / mortgage</t>
  </si>
  <si>
    <t xml:space="preserve">Utilities</t>
  </si>
  <si>
    <t xml:space="preserve">Groceries</t>
  </si>
  <si>
    <t xml:space="preserve">Dining out</t>
  </si>
  <si>
    <t xml:space="preserve">Transportation / gas</t>
  </si>
  <si>
    <t xml:space="preserve">Insurance</t>
  </si>
  <si>
    <t xml:space="preserve">Phone &amp; internet</t>
  </si>
  <si>
    <t xml:space="preserve">Subscriptions</t>
  </si>
  <si>
    <t xml:space="preserve">Debt payments</t>
  </si>
  <si>
    <t xml:space="preserve">Childcare / pets</t>
  </si>
  <si>
    <t xml:space="preserve">Personal &amp; clothing</t>
  </si>
  <si>
    <t xml:space="preserve">Health</t>
  </si>
  <si>
    <t xml:space="preserve">Fun &amp; entertainment</t>
  </si>
  <si>
    <t xml:space="preserve">Giving</t>
  </si>
  <si>
    <t xml:space="preserve">Savings &amp; investing</t>
  </si>
  <si>
    <t xml:space="preserve">Misc / buffer</t>
  </si>
  <si>
    <t xml:space="preserve">Total expenses</t>
  </si>
  <si>
    <t xml:space="preserve">Left to assign / left over</t>
  </si>
  <si>
    <t xml:space="preserve">Savings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</si>
</sst>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2A2C"/>
      <name val="Arial"/>
      <family val="0"/>
      <charset val="1"/>
    </font>
    <font>
      <i val="true"/>
      <sz val="10"/>
      <color rgb="FF6B7A7C"/>
      <name val="Arial"/>
      <family val="0"/>
      <charset val="1"/>
    </font>
    <font>
      <b val="true"/>
      <sz val="9"/>
      <color rgb="FF6B7A7C"/>
      <name val="Arial"/>
      <family val="0"/>
      <charset val="1"/>
    </font>
    <font>
      <b val="true"/>
      <sz val="20"/>
      <color rgb="FF2E6F73"/>
      <name val="Arial"/>
      <family val="0"/>
      <charset val="1"/>
    </font>
    <font>
      <b val="true"/>
      <sz val="20"/>
      <color rgb="FFC7813F"/>
      <name val="Arial"/>
      <family val="0"/>
      <charset val="1"/>
    </font>
    <font>
      <sz val="8"/>
      <color rgb="FF6B7A7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1EC"/>
        <bgColor rgb="FFFBF6E9"/>
      </patternFill>
    </fill>
    <fill>
      <patternFill patternType="solid">
        <fgColor rgb="FF2E6F73"/>
        <bgColor rgb="FF008080"/>
      </patternFill>
    </fill>
    <fill>
      <patternFill patternType="solid">
        <fgColor rgb="FFE7E6E6"/>
        <bgColor rgb="FFF4F1EC"/>
      </patternFill>
    </fill>
    <fill>
      <patternFill patternType="solid">
        <fgColor rgb="FFFBF6E9"/>
        <bgColor rgb="FFF4F1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/>
      <bottom style="thin">
        <color rgb="FFD9D4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73"/>
      <rgbColor rgb="FFBFBFBF"/>
      <rgbColor rgb="FF878787"/>
      <rgbColor rgb="FF9999FF"/>
      <rgbColor rgb="FF993366"/>
      <rgbColor rgb="FFFBF6E9"/>
      <rgbColor rgb="FFF4F1EC"/>
      <rgbColor rgb="FF660066"/>
      <rgbColor rgb="FFC781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D9D4CC"/>
      <rgbColor rgb="FF3366FF"/>
      <rgbColor rgb="FF33CCCC"/>
      <rgbColor rgb="FF99CC00"/>
      <rgbColor rgb="FFFFCC00"/>
      <rgbColor rgb="FFFF9900"/>
      <rgbColor rgb="FFFF6600"/>
      <rgbColor rgb="FF666666"/>
      <rgbColor rgb="FF6B7A7C"/>
      <rgbColor rgb="FF003366"/>
      <rgbColor rgb="FF339966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vs. expenses by month (actual)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Dashboard!O13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2e6f73"/>
            </a:solidFill>
            <a:ln w="28080">
              <a:solidFill>
                <a:srgbClr val="2e6f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Dashboard!$N$14:$N$25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Dashboard!$O$14:$O$25</c:f>
              <c:numCache>
                <c:formatCode>\$#,##0;"($"#,##0\);\-</c:formatCode>
                <c:ptCount val="12"/>
                <c:pt idx="0">
                  <c:v>6714</c:v>
                </c:pt>
                <c:pt idx="1">
                  <c:v>6945</c:v>
                </c:pt>
                <c:pt idx="2">
                  <c:v>7049</c:v>
                </c:pt>
                <c:pt idx="3">
                  <c:v>6717</c:v>
                </c:pt>
                <c:pt idx="4">
                  <c:v>6976</c:v>
                </c:pt>
                <c:pt idx="5">
                  <c:v>7017</c:v>
                </c:pt>
                <c:pt idx="6">
                  <c:v>6768</c:v>
                </c:pt>
                <c:pt idx="7">
                  <c:v>6890</c:v>
                </c:pt>
                <c:pt idx="8">
                  <c:v>6812</c:v>
                </c:pt>
                <c:pt idx="9">
                  <c:v>6844</c:v>
                </c:pt>
                <c:pt idx="10">
                  <c:v>6698</c:v>
                </c:pt>
                <c:pt idx="11">
                  <c:v>6650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Dashboard!P13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7813f"/>
            </a:solidFill>
            <a:ln w="28080">
              <a:solidFill>
                <a:srgbClr val="c781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Dashboard!$N$14:$N$25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Dashboard!$P$14:$P$25</c:f>
              <c:numCache>
                <c:formatCode>\$#,##0;"($"#,##0\);\-</c:formatCode>
                <c:ptCount val="12"/>
                <c:pt idx="0">
                  <c:v>6056</c:v>
                </c:pt>
                <c:pt idx="1">
                  <c:v>6219</c:v>
                </c:pt>
                <c:pt idx="2">
                  <c:v>6127</c:v>
                </c:pt>
                <c:pt idx="3">
                  <c:v>6245</c:v>
                </c:pt>
                <c:pt idx="4">
                  <c:v>5588</c:v>
                </c:pt>
                <c:pt idx="5">
                  <c:v>5595</c:v>
                </c:pt>
                <c:pt idx="6">
                  <c:v>5761</c:v>
                </c:pt>
                <c:pt idx="7">
                  <c:v>5497</c:v>
                </c:pt>
                <c:pt idx="8">
                  <c:v>6154</c:v>
                </c:pt>
                <c:pt idx="9">
                  <c:v>5828</c:v>
                </c:pt>
                <c:pt idx="10">
                  <c:v>6028</c:v>
                </c:pt>
                <c:pt idx="11">
                  <c:v>5837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842467"/>
        <c:axId val="72062129"/>
      </c:lineChart>
      <c:catAx>
        <c:axId val="348424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62129"/>
        <c:crosses val="autoZero"/>
        <c:auto val="1"/>
        <c:lblAlgn val="ctr"/>
        <c:lblOffset val="100"/>
        <c:noMultiLvlLbl val="0"/>
      </c:catAx>
      <c:valAx>
        <c:axId val="720621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424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vs. actual by category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Details!B4</c:f>
              <c:strCache>
                <c:ptCount val="1"/>
                <c:pt idx="0">
                  <c:v>Planned (YTD)</c:v>
                </c:pt>
              </c:strCache>
            </c:strRef>
          </c:tx>
          <c:spPr>
            <a:solidFill>
              <a:srgbClr val="2e6f73"/>
            </a:solidFill>
            <a:ln w="9360">
              <a:solidFill>
                <a:srgbClr val="2e6f7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Details!$A$5:$A$20</c:f>
              <c:strCache>
                <c:ptCount val="16"/>
                <c:pt idx="0">
                  <c:v>Rent / mortgage</c:v>
                </c:pt>
                <c:pt idx="1">
                  <c:v>Utilities</c:v>
                </c:pt>
                <c:pt idx="2">
                  <c:v>Groceries</c:v>
                </c:pt>
                <c:pt idx="3">
                  <c:v>Dining out</c:v>
                </c:pt>
                <c:pt idx="4">
                  <c:v>Transportation / gas</c:v>
                </c:pt>
                <c:pt idx="5">
                  <c:v>Insurance</c:v>
                </c:pt>
                <c:pt idx="6">
                  <c:v>Phone &amp; internet</c:v>
                </c:pt>
                <c:pt idx="7">
                  <c:v>Subscriptions</c:v>
                </c:pt>
                <c:pt idx="8">
                  <c:v>Debt payments</c:v>
                </c:pt>
                <c:pt idx="9">
                  <c:v>Childcare / pets</c:v>
                </c:pt>
                <c:pt idx="10">
                  <c:v>Personal &amp; clothing</c:v>
                </c:pt>
                <c:pt idx="11">
                  <c:v>Health</c:v>
                </c:pt>
                <c:pt idx="12">
                  <c:v>Fun &amp; entertainment</c:v>
                </c:pt>
                <c:pt idx="13">
                  <c:v>Giving</c:v>
                </c:pt>
                <c:pt idx="14">
                  <c:v>Savings &amp; investing</c:v>
                </c:pt>
                <c:pt idx="15">
                  <c:v>Misc / buffer</c:v>
                </c:pt>
              </c:strCache>
            </c:strRef>
          </c:cat>
          <c:val>
            <c:numRef>
              <c:f>Details!$B$5:$B$20</c:f>
              <c:numCache>
                <c:formatCode>\$#,##0;"($"#,##0\);\-</c:formatCode>
                <c:ptCount val="16"/>
                <c:pt idx="0">
                  <c:v>22200</c:v>
                </c:pt>
                <c:pt idx="1">
                  <c:v>2640</c:v>
                </c:pt>
                <c:pt idx="2">
                  <c:v>7800</c:v>
                </c:pt>
                <c:pt idx="3">
                  <c:v>3000</c:v>
                </c:pt>
                <c:pt idx="4">
                  <c:v>3600</c:v>
                </c:pt>
                <c:pt idx="5">
                  <c:v>3120</c:v>
                </c:pt>
                <c:pt idx="6">
                  <c:v>1680</c:v>
                </c:pt>
                <c:pt idx="7">
                  <c:v>720</c:v>
                </c:pt>
                <c:pt idx="8">
                  <c:v>5400</c:v>
                </c:pt>
                <c:pt idx="9">
                  <c:v>2400</c:v>
                </c:pt>
                <c:pt idx="10">
                  <c:v>1800</c:v>
                </c:pt>
                <c:pt idx="11">
                  <c:v>1440</c:v>
                </c:pt>
                <c:pt idx="12">
                  <c:v>2400</c:v>
                </c:pt>
                <c:pt idx="13">
                  <c:v>1200</c:v>
                </c:pt>
                <c:pt idx="14">
                  <c:v>9600</c:v>
                </c:pt>
                <c:pt idx="15">
                  <c:v>1800</c:v>
                </c:pt>
              </c:numCache>
            </c:numRef>
          </c:val>
        </c:ser>
        <c:ser>
          <c:idx val="1"/>
          <c:order val="1"/>
          <c:tx>
            <c:strRef>
              <c:f>Details!C4</c:f>
              <c:strCache>
                <c:ptCount val="1"/>
                <c:pt idx="0">
                  <c:v>Actual (YTD)</c:v>
                </c:pt>
              </c:strCache>
            </c:strRef>
          </c:tx>
          <c:spPr>
            <a:solidFill>
              <a:srgbClr val="c7813f"/>
            </a:solidFill>
            <a:ln w="9360">
              <a:solidFill>
                <a:srgbClr val="c7813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Details!$A$5:$A$20</c:f>
              <c:strCache>
                <c:ptCount val="16"/>
                <c:pt idx="0">
                  <c:v>Rent / mortgage</c:v>
                </c:pt>
                <c:pt idx="1">
                  <c:v>Utilities</c:v>
                </c:pt>
                <c:pt idx="2">
                  <c:v>Groceries</c:v>
                </c:pt>
                <c:pt idx="3">
                  <c:v>Dining out</c:v>
                </c:pt>
                <c:pt idx="4">
                  <c:v>Transportation / gas</c:v>
                </c:pt>
                <c:pt idx="5">
                  <c:v>Insurance</c:v>
                </c:pt>
                <c:pt idx="6">
                  <c:v>Phone &amp; internet</c:v>
                </c:pt>
                <c:pt idx="7">
                  <c:v>Subscriptions</c:v>
                </c:pt>
                <c:pt idx="8">
                  <c:v>Debt payments</c:v>
                </c:pt>
                <c:pt idx="9">
                  <c:v>Childcare / pets</c:v>
                </c:pt>
                <c:pt idx="10">
                  <c:v>Personal &amp; clothing</c:v>
                </c:pt>
                <c:pt idx="11">
                  <c:v>Health</c:v>
                </c:pt>
                <c:pt idx="12">
                  <c:v>Fun &amp; entertainment</c:v>
                </c:pt>
                <c:pt idx="13">
                  <c:v>Giving</c:v>
                </c:pt>
                <c:pt idx="14">
                  <c:v>Savings &amp; investing</c:v>
                </c:pt>
                <c:pt idx="15">
                  <c:v>Misc / buffer</c:v>
                </c:pt>
              </c:strCache>
            </c:strRef>
          </c:cat>
          <c:val>
            <c:numRef>
              <c:f>Details!$C$5:$C$20</c:f>
              <c:numCache>
                <c:formatCode>\$#,##0;"($"#,##0\);\-</c:formatCode>
                <c:ptCount val="16"/>
                <c:pt idx="0">
                  <c:v>22825</c:v>
                </c:pt>
                <c:pt idx="1">
                  <c:v>2685</c:v>
                </c:pt>
                <c:pt idx="2">
                  <c:v>7448</c:v>
                </c:pt>
                <c:pt idx="3">
                  <c:v>2966</c:v>
                </c:pt>
                <c:pt idx="4">
                  <c:v>3497</c:v>
                </c:pt>
                <c:pt idx="5">
                  <c:v>3075</c:v>
                </c:pt>
                <c:pt idx="6">
                  <c:v>1737</c:v>
                </c:pt>
                <c:pt idx="7">
                  <c:v>698</c:v>
                </c:pt>
                <c:pt idx="8">
                  <c:v>5177</c:v>
                </c:pt>
                <c:pt idx="9">
                  <c:v>2398</c:v>
                </c:pt>
                <c:pt idx="10">
                  <c:v>1867</c:v>
                </c:pt>
                <c:pt idx="11">
                  <c:v>1564</c:v>
                </c:pt>
                <c:pt idx="12">
                  <c:v>2497</c:v>
                </c:pt>
                <c:pt idx="13">
                  <c:v>1208</c:v>
                </c:pt>
                <c:pt idx="14">
                  <c:v>9443</c:v>
                </c:pt>
                <c:pt idx="15">
                  <c:v>1850</c:v>
                </c:pt>
              </c:numCache>
            </c:numRef>
          </c:val>
        </c:ser>
        <c:gapWidth val="150"/>
        <c:overlap val="0"/>
        <c:axId val="4324170"/>
        <c:axId val="25419353"/>
      </c:barChart>
      <c:catAx>
        <c:axId val="4324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19353"/>
        <c:crosses val="autoZero"/>
        <c:auto val="1"/>
        <c:lblAlgn val="ctr"/>
        <c:lblOffset val="100"/>
        <c:noMultiLvlLbl val="0"/>
      </c:catAx>
      <c:valAx>
        <c:axId val="25419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41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70560</xdr:rowOff>
    </xdr:from>
    <xdr:to>
      <xdr:col>6</xdr:col>
      <xdr:colOff>701280</xdr:colOff>
      <xdr:row>26</xdr:row>
      <xdr:rowOff>92880</xdr:rowOff>
    </xdr:to>
    <xdr:graphicFrame>
      <xdr:nvGraphicFramePr>
        <xdr:cNvPr id="0" name="Chart 1"/>
        <xdr:cNvGraphicFramePr/>
      </xdr:nvGraphicFramePr>
      <xdr:xfrm>
        <a:off x="266760" y="24004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70200</xdr:rowOff>
    </xdr:from>
    <xdr:to>
      <xdr:col>6</xdr:col>
      <xdr:colOff>701280</xdr:colOff>
      <xdr:row>45</xdr:row>
      <xdr:rowOff>71640</xdr:rowOff>
    </xdr:to>
    <xdr:graphicFrame>
      <xdr:nvGraphicFramePr>
        <xdr:cNvPr id="1" name="Chart 2"/>
        <xdr:cNvGraphicFramePr/>
      </xdr:nvGraphicFramePr>
      <xdr:xfrm>
        <a:off x="266760" y="5638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P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3"/>
  </cols>
  <sheetData>
    <row r="2" customFormat="false" ht="24.45" hidden="false" customHeight="false" outlineLevel="0" collapsed="false">
      <c r="B2" s="5" t="s">
        <v>12</v>
      </c>
    </row>
    <row r="3" customFormat="false" ht="15" hidden="false" customHeight="false" outlineLevel="0" collapsed="false">
      <c r="B3" s="6" t="s">
        <v>13</v>
      </c>
    </row>
    <row r="5" customFormat="false" ht="15.75" hidden="false" customHeight="true" outlineLevel="0" collapsed="false">
      <c r="B5" s="7" t="s">
        <v>14</v>
      </c>
      <c r="C5" s="7"/>
      <c r="D5" s="7"/>
      <c r="E5" s="7" t="s">
        <v>15</v>
      </c>
      <c r="F5" s="7"/>
      <c r="G5" s="7"/>
      <c r="H5" s="7" t="s">
        <v>16</v>
      </c>
      <c r="I5" s="7"/>
      <c r="J5" s="7"/>
      <c r="K5" s="7" t="s">
        <v>17</v>
      </c>
      <c r="L5" s="7"/>
      <c r="M5" s="7"/>
    </row>
    <row r="6" customFormat="false" ht="21.75" hidden="false" customHeight="true" outlineLevel="0" collapsed="false">
      <c r="B6" s="8" t="n">
        <f aca="false">Details!B23</f>
        <v>82080</v>
      </c>
      <c r="C6" s="8"/>
      <c r="D6" s="8"/>
      <c r="E6" s="8" t="n">
        <f aca="false">Details!C21</f>
        <v>70935</v>
      </c>
      <c r="F6" s="8"/>
      <c r="G6" s="8"/>
      <c r="H6" s="9" t="n">
        <f aca="false">Details!B24</f>
        <v>9443</v>
      </c>
      <c r="I6" s="9"/>
      <c r="J6" s="9"/>
      <c r="K6" s="10" t="n">
        <f aca="false">Details!B25</f>
        <v>0.115046296296296</v>
      </c>
      <c r="L6" s="10"/>
      <c r="M6" s="10"/>
    </row>
    <row r="7" customFormat="false" ht="12" hidden="false" customHeight="true" outlineLevel="0" collapsed="false">
      <c r="B7" s="8"/>
      <c r="C7" s="8"/>
      <c r="D7" s="8"/>
      <c r="E7" s="8"/>
      <c r="F7" s="8"/>
      <c r="G7" s="8"/>
      <c r="H7" s="9"/>
      <c r="I7" s="9"/>
      <c r="J7" s="9"/>
      <c r="K7" s="10"/>
      <c r="L7" s="10"/>
      <c r="M7" s="10"/>
    </row>
    <row r="9" customFormat="false" ht="15.75" hidden="false" customHeight="true" outlineLevel="0" collapsed="false">
      <c r="B9" s="7" t="s">
        <v>18</v>
      </c>
      <c r="C9" s="7"/>
      <c r="D9" s="7"/>
      <c r="E9" s="7" t="s">
        <v>19</v>
      </c>
      <c r="F9" s="7"/>
      <c r="G9" s="7"/>
    </row>
    <row r="10" customFormat="false" ht="21.75" hidden="false" customHeight="true" outlineLevel="0" collapsed="false">
      <c r="B10" s="8" t="n">
        <f aca="false">Details!B21</f>
        <v>70800</v>
      </c>
      <c r="C10" s="8"/>
      <c r="D10" s="8"/>
      <c r="E10" s="8" t="n">
        <f aca="false">Details!D21</f>
        <v>-135</v>
      </c>
      <c r="F10" s="8"/>
      <c r="G10" s="8"/>
    </row>
    <row r="11" customFormat="false" ht="12" hidden="false" customHeight="true" outlineLevel="0" collapsed="false">
      <c r="B11" s="8"/>
      <c r="C11" s="8"/>
      <c r="D11" s="8"/>
      <c r="E11" s="8"/>
      <c r="F11" s="8"/>
      <c r="G11" s="8"/>
    </row>
    <row r="13" customFormat="false" ht="15" hidden="false" customHeight="false" outlineLevel="0" collapsed="false">
      <c r="N13" s="11" t="s">
        <v>20</v>
      </c>
      <c r="O13" s="11" t="s">
        <v>21</v>
      </c>
      <c r="P13" s="11" t="s">
        <v>22</v>
      </c>
    </row>
    <row r="14" customFormat="false" ht="15" hidden="false" customHeight="false" outlineLevel="0" collapsed="false">
      <c r="N14" s="11" t="s">
        <v>23</v>
      </c>
      <c r="O14" s="12" t="n">
        <f aca="false">Budget!C10</f>
        <v>6714</v>
      </c>
      <c r="P14" s="12" t="n">
        <f aca="false">Budget!C35</f>
        <v>6056</v>
      </c>
    </row>
    <row r="15" customFormat="false" ht="15" hidden="false" customHeight="false" outlineLevel="0" collapsed="false">
      <c r="N15" s="11" t="s">
        <v>24</v>
      </c>
      <c r="O15" s="12" t="n">
        <f aca="false">Budget!E10</f>
        <v>6945</v>
      </c>
      <c r="P15" s="12" t="n">
        <f aca="false">Budget!E35</f>
        <v>6219</v>
      </c>
    </row>
    <row r="16" customFormat="false" ht="15" hidden="false" customHeight="false" outlineLevel="0" collapsed="false">
      <c r="N16" s="11" t="s">
        <v>25</v>
      </c>
      <c r="O16" s="12" t="n">
        <f aca="false">Budget!G10</f>
        <v>7049</v>
      </c>
      <c r="P16" s="12" t="n">
        <f aca="false">Budget!G35</f>
        <v>6127</v>
      </c>
    </row>
    <row r="17" customFormat="false" ht="15" hidden="false" customHeight="false" outlineLevel="0" collapsed="false">
      <c r="N17" s="11" t="s">
        <v>26</v>
      </c>
      <c r="O17" s="12" t="n">
        <f aca="false">Budget!I10</f>
        <v>6717</v>
      </c>
      <c r="P17" s="12" t="n">
        <f aca="false">Budget!I35</f>
        <v>6245</v>
      </c>
    </row>
    <row r="18" customFormat="false" ht="15" hidden="false" customHeight="false" outlineLevel="0" collapsed="false">
      <c r="N18" s="11" t="s">
        <v>27</v>
      </c>
      <c r="O18" s="12" t="n">
        <f aca="false">Budget!K10</f>
        <v>6976</v>
      </c>
      <c r="P18" s="12" t="n">
        <f aca="false">Budget!K35</f>
        <v>5588</v>
      </c>
    </row>
    <row r="19" customFormat="false" ht="15" hidden="false" customHeight="false" outlineLevel="0" collapsed="false">
      <c r="N19" s="11" t="s">
        <v>28</v>
      </c>
      <c r="O19" s="12" t="n">
        <f aca="false">Budget!M10</f>
        <v>7017</v>
      </c>
      <c r="P19" s="12" t="n">
        <f aca="false">Budget!M35</f>
        <v>5595</v>
      </c>
    </row>
    <row r="20" customFormat="false" ht="15" hidden="false" customHeight="false" outlineLevel="0" collapsed="false">
      <c r="N20" s="11" t="s">
        <v>29</v>
      </c>
      <c r="O20" s="12" t="n">
        <f aca="false">Budget!O10</f>
        <v>6768</v>
      </c>
      <c r="P20" s="12" t="n">
        <f aca="false">Budget!O35</f>
        <v>5761</v>
      </c>
    </row>
    <row r="21" customFormat="false" ht="15" hidden="false" customHeight="false" outlineLevel="0" collapsed="false">
      <c r="N21" s="11" t="s">
        <v>30</v>
      </c>
      <c r="O21" s="12" t="n">
        <f aca="false">Budget!Q10</f>
        <v>6890</v>
      </c>
      <c r="P21" s="12" t="n">
        <f aca="false">Budget!Q35</f>
        <v>5497</v>
      </c>
    </row>
    <row r="22" customFormat="false" ht="15" hidden="false" customHeight="false" outlineLevel="0" collapsed="false">
      <c r="N22" s="11" t="s">
        <v>31</v>
      </c>
      <c r="O22" s="12" t="n">
        <f aca="false">Budget!S10</f>
        <v>6812</v>
      </c>
      <c r="P22" s="12" t="n">
        <f aca="false">Budget!S35</f>
        <v>6154</v>
      </c>
    </row>
    <row r="23" customFormat="false" ht="15" hidden="false" customHeight="false" outlineLevel="0" collapsed="false">
      <c r="N23" s="11" t="s">
        <v>32</v>
      </c>
      <c r="O23" s="12" t="n">
        <f aca="false">Budget!U10</f>
        <v>6844</v>
      </c>
      <c r="P23" s="12" t="n">
        <f aca="false">Budget!U35</f>
        <v>5828</v>
      </c>
    </row>
    <row r="24" customFormat="false" ht="15" hidden="false" customHeight="false" outlineLevel="0" collapsed="false">
      <c r="N24" s="11" t="s">
        <v>33</v>
      </c>
      <c r="O24" s="12" t="n">
        <f aca="false">Budget!W10</f>
        <v>6698</v>
      </c>
      <c r="P24" s="12" t="n">
        <f aca="false">Budget!W35</f>
        <v>6028</v>
      </c>
    </row>
    <row r="25" customFormat="false" ht="15" hidden="false" customHeight="false" outlineLevel="0" collapsed="false">
      <c r="N25" s="11" t="s">
        <v>34</v>
      </c>
      <c r="O25" s="12" t="n">
        <f aca="false">Budget!Y10</f>
        <v>6650</v>
      </c>
      <c r="P25" s="12" t="n">
        <f aca="false">Budget!Y35</f>
        <v>5837</v>
      </c>
    </row>
  </sheetData>
  <mergeCells count="12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B10:D11"/>
    <mergeCell ref="E10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30" hidden="false" customHeight="true" outlineLevel="0" collapsed="false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</row>
    <row r="5" customFormat="false" ht="15" hidden="false" customHeight="false" outlineLevel="0" collapsed="false">
      <c r="A5" s="14" t="str">
        <f aca="false">Budget!A13</f>
        <v>Rent / mortgage</v>
      </c>
      <c r="B5" s="15" t="n">
        <f aca="false">Budget!B13+Budget!D13+Budget!F13+Budget!H13+Budget!J13+Budget!L13+Budget!N13+Budget!P13+Budget!R13+Budget!T13+Budget!V13+Budget!X13</f>
        <v>22200</v>
      </c>
      <c r="C5" s="15" t="n">
        <f aca="false">Budget!C13+Budget!E13+Budget!G13+Budget!I13+Budget!K13+Budget!M13+Budget!O13+Budget!Q13+Budget!S13+Budget!U13+Budget!W13+Budget!Y13</f>
        <v>22825</v>
      </c>
      <c r="D5" s="16" t="n">
        <f aca="false">B5-C5</f>
        <v>-625</v>
      </c>
      <c r="E5" s="17" t="n">
        <f aca="false">IF($C$21=0,0,C5/$C$21)</f>
        <v>0.321773454571086</v>
      </c>
    </row>
    <row r="6" customFormat="false" ht="15" hidden="false" customHeight="false" outlineLevel="0" collapsed="false">
      <c r="A6" s="14" t="str">
        <f aca="false">Budget!A14</f>
        <v>Utilities</v>
      </c>
      <c r="B6" s="15" t="n">
        <f aca="false">Budget!B14+Budget!D14+Budget!F14+Budget!H14+Budget!J14+Budget!L14+Budget!N14+Budget!P14+Budget!R14+Budget!T14+Budget!V14+Budget!X14</f>
        <v>2640</v>
      </c>
      <c r="C6" s="15" t="n">
        <f aca="false">Budget!C14+Budget!E14+Budget!G14+Budget!I14+Budget!K14+Budget!M14+Budget!O14+Budget!Q14+Budget!S14+Budget!U14+Budget!W14+Budget!Y14</f>
        <v>2685</v>
      </c>
      <c r="D6" s="16" t="n">
        <f aca="false">B6-C6</f>
        <v>-45</v>
      </c>
      <c r="E6" s="17" t="n">
        <f aca="false">IF($C$21=0,0,C6/$C$21)</f>
        <v>0.037851554239797</v>
      </c>
    </row>
    <row r="7" customFormat="false" ht="15" hidden="false" customHeight="false" outlineLevel="0" collapsed="false">
      <c r="A7" s="14" t="str">
        <f aca="false">Budget!A15</f>
        <v>Groceries</v>
      </c>
      <c r="B7" s="15" t="n">
        <f aca="false">Budget!B15+Budget!D15+Budget!F15+Budget!H15+Budget!J15+Budget!L15+Budget!N15+Budget!P15+Budget!R15+Budget!T15+Budget!V15+Budget!X15</f>
        <v>7800</v>
      </c>
      <c r="C7" s="15" t="n">
        <f aca="false">Budget!C15+Budget!E15+Budget!G15+Budget!I15+Budget!K15+Budget!M15+Budget!O15+Budget!Q15+Budget!S15+Budget!U15+Budget!W15+Budget!Y15</f>
        <v>7448</v>
      </c>
      <c r="D7" s="16" t="n">
        <f aca="false">B7-C7</f>
        <v>352</v>
      </c>
      <c r="E7" s="17" t="n">
        <f aca="false">IF($C$21=0,0,C7/$C$21)</f>
        <v>0.104997532952703</v>
      </c>
    </row>
    <row r="8" customFormat="false" ht="15" hidden="false" customHeight="false" outlineLevel="0" collapsed="false">
      <c r="A8" s="14" t="str">
        <f aca="false">Budget!A16</f>
        <v>Dining out</v>
      </c>
      <c r="B8" s="15" t="n">
        <f aca="false">Budget!B16+Budget!D16+Budget!F16+Budget!H16+Budget!J16+Budget!L16+Budget!N16+Budget!P16+Budget!R16+Budget!T16+Budget!V16+Budget!X16</f>
        <v>3000</v>
      </c>
      <c r="C8" s="15" t="n">
        <f aca="false">Budget!C16+Budget!E16+Budget!G16+Budget!I16+Budget!K16+Budget!M16+Budget!O16+Budget!Q16+Budget!S16+Budget!U16+Budget!W16+Budget!Y16</f>
        <v>2966</v>
      </c>
      <c r="D8" s="16" t="n">
        <f aca="false">B8-C8</f>
        <v>34</v>
      </c>
      <c r="E8" s="17" t="n">
        <f aca="false">IF($C$21=0,0,C8/$C$21)</f>
        <v>0.0418129273278353</v>
      </c>
    </row>
    <row r="9" customFormat="false" ht="15" hidden="false" customHeight="false" outlineLevel="0" collapsed="false">
      <c r="A9" s="14" t="str">
        <f aca="false">Budget!A17</f>
        <v>Transportation / gas</v>
      </c>
      <c r="B9" s="15" t="n">
        <f aca="false">Budget!B17+Budget!D17+Budget!F17+Budget!H17+Budget!J17+Budget!L17+Budget!N17+Budget!P17+Budget!R17+Budget!T17+Budget!V17+Budget!X17</f>
        <v>3600</v>
      </c>
      <c r="C9" s="15" t="n">
        <f aca="false">Budget!C17+Budget!E17+Budget!G17+Budget!I17+Budget!K17+Budget!M17+Budget!O17+Budget!Q17+Budget!S17+Budget!U17+Budget!W17+Budget!Y17</f>
        <v>3497</v>
      </c>
      <c r="D9" s="16" t="n">
        <f aca="false">B9-C9</f>
        <v>103</v>
      </c>
      <c r="E9" s="17" t="n">
        <f aca="false">IF($C$21=0,0,C9/$C$21)</f>
        <v>0.0492986536970466</v>
      </c>
    </row>
    <row r="10" customFormat="false" ht="15" hidden="false" customHeight="false" outlineLevel="0" collapsed="false">
      <c r="A10" s="14" t="str">
        <f aca="false">Budget!A18</f>
        <v>Insurance</v>
      </c>
      <c r="B10" s="15" t="n">
        <f aca="false">Budget!B18+Budget!D18+Budget!F18+Budget!H18+Budget!J18+Budget!L18+Budget!N18+Budget!P18+Budget!R18+Budget!T18+Budget!V18+Budget!X18</f>
        <v>3120</v>
      </c>
      <c r="C10" s="15" t="n">
        <f aca="false">Budget!C18+Budget!E18+Budget!G18+Budget!I18+Budget!K18+Budget!M18+Budget!O18+Budget!Q18+Budget!S18+Budget!U18+Budget!W18+Budget!Y18</f>
        <v>3075</v>
      </c>
      <c r="D10" s="16" t="n">
        <f aca="false">B10-C10</f>
        <v>45</v>
      </c>
      <c r="E10" s="17" t="n">
        <f aca="false">IF($C$21=0,0,C10/$C$21)</f>
        <v>0.0433495453584267</v>
      </c>
    </row>
    <row r="11" customFormat="false" ht="15" hidden="false" customHeight="false" outlineLevel="0" collapsed="false">
      <c r="A11" s="14" t="str">
        <f aca="false">Budget!A19</f>
        <v>Phone &amp; internet</v>
      </c>
      <c r="B11" s="15" t="n">
        <f aca="false">Budget!B19+Budget!D19+Budget!F19+Budget!H19+Budget!J19+Budget!L19+Budget!N19+Budget!P19+Budget!R19+Budget!T19+Budget!V19+Budget!X19</f>
        <v>1680</v>
      </c>
      <c r="C11" s="15" t="n">
        <f aca="false">Budget!C19+Budget!E19+Budget!G19+Budget!I19+Budget!K19+Budget!M19+Budget!O19+Budget!Q19+Budget!S19+Budget!U19+Budget!W19+Budget!Y19</f>
        <v>1737</v>
      </c>
      <c r="D11" s="16" t="n">
        <f aca="false">B11-C11</f>
        <v>-57</v>
      </c>
      <c r="E11" s="17" t="n">
        <f aca="false">IF($C$21=0,0,C11/$C$21)</f>
        <v>0.0244872065975893</v>
      </c>
    </row>
    <row r="12" customFormat="false" ht="15" hidden="false" customHeight="false" outlineLevel="0" collapsed="false">
      <c r="A12" s="14" t="str">
        <f aca="false">Budget!A20</f>
        <v>Subscriptions</v>
      </c>
      <c r="B12" s="15" t="n">
        <f aca="false">Budget!B20+Budget!D20+Budget!F20+Budget!H20+Budget!J20+Budget!L20+Budget!N20+Budget!P20+Budget!R20+Budget!T20+Budget!V20+Budget!X20</f>
        <v>720</v>
      </c>
      <c r="C12" s="15" t="n">
        <f aca="false">Budget!C20+Budget!E20+Budget!G20+Budget!I20+Budget!K20+Budget!M20+Budget!O20+Budget!Q20+Budget!S20+Budget!U20+Budget!W20+Budget!Y20</f>
        <v>698</v>
      </c>
      <c r="D12" s="16" t="n">
        <f aca="false">B12-C12</f>
        <v>22</v>
      </c>
      <c r="E12" s="17" t="n">
        <f aca="false">IF($C$21=0,0,C12/$C$21)</f>
        <v>0.00983999436103475</v>
      </c>
    </row>
    <row r="13" customFormat="false" ht="15" hidden="false" customHeight="false" outlineLevel="0" collapsed="false">
      <c r="A13" s="14" t="str">
        <f aca="false">Budget!A21</f>
        <v>Debt payments</v>
      </c>
      <c r="B13" s="15" t="n">
        <f aca="false">Budget!B21+Budget!D21+Budget!F21+Budget!H21+Budget!J21+Budget!L21+Budget!N21+Budget!P21+Budget!R21+Budget!T21+Budget!V21+Budget!X21</f>
        <v>5400</v>
      </c>
      <c r="C13" s="15" t="n">
        <f aca="false">Budget!C21+Budget!E21+Budget!G21+Budget!I21+Budget!K21+Budget!M21+Budget!O21+Budget!Q21+Budget!S21+Budget!U21+Budget!W21+Budget!Y21</f>
        <v>5177</v>
      </c>
      <c r="D13" s="16" t="n">
        <f aca="false">B13-C13</f>
        <v>223</v>
      </c>
      <c r="E13" s="17" t="n">
        <f aca="false">IF($C$21=0,0,C13/$C$21)</f>
        <v>0.0729823077465285</v>
      </c>
    </row>
    <row r="14" customFormat="false" ht="15" hidden="false" customHeight="false" outlineLevel="0" collapsed="false">
      <c r="A14" s="14" t="str">
        <f aca="false">Budget!A22</f>
        <v>Childcare / pets</v>
      </c>
      <c r="B14" s="15" t="n">
        <f aca="false">Budget!B22+Budget!D22+Budget!F22+Budget!H22+Budget!J22+Budget!L22+Budget!N22+Budget!P22+Budget!R22+Budget!T22+Budget!V22+Budget!X22</f>
        <v>2400</v>
      </c>
      <c r="C14" s="15" t="n">
        <f aca="false">Budget!C22+Budget!E22+Budget!G22+Budget!I22+Budget!K22+Budget!M22+Budget!O22+Budget!Q22+Budget!S22+Budget!U22+Budget!W22+Budget!Y22</f>
        <v>2398</v>
      </c>
      <c r="D14" s="16" t="n">
        <f aca="false">B14-C14</f>
        <v>2</v>
      </c>
      <c r="E14" s="17" t="n">
        <f aca="false">IF($C$21=0,0,C14/$C$21)</f>
        <v>0.0338055966730105</v>
      </c>
    </row>
    <row r="15" customFormat="false" ht="15" hidden="false" customHeight="false" outlineLevel="0" collapsed="false">
      <c r="A15" s="14" t="str">
        <f aca="false">Budget!A23</f>
        <v>Personal &amp; clothing</v>
      </c>
      <c r="B15" s="15" t="n">
        <f aca="false">Budget!B23+Budget!D23+Budget!F23+Budget!H23+Budget!J23+Budget!L23+Budget!N23+Budget!P23+Budget!R23+Budget!T23+Budget!V23+Budget!X23</f>
        <v>1800</v>
      </c>
      <c r="C15" s="15" t="n">
        <f aca="false">Budget!C23+Budget!E23+Budget!G23+Budget!I23+Budget!K23+Budget!M23+Budget!O23+Budget!Q23+Budget!S23+Budget!U23+Budget!W23+Budget!Y23</f>
        <v>1867</v>
      </c>
      <c r="D15" s="16" t="n">
        <f aca="false">B15-C15</f>
        <v>-67</v>
      </c>
      <c r="E15" s="17" t="n">
        <f aca="false">IF($C$21=0,0,C15/$C$21)</f>
        <v>0.0263198703037993</v>
      </c>
    </row>
    <row r="16" customFormat="false" ht="15" hidden="false" customHeight="false" outlineLevel="0" collapsed="false">
      <c r="A16" s="14" t="str">
        <f aca="false">Budget!A24</f>
        <v>Health</v>
      </c>
      <c r="B16" s="15" t="n">
        <f aca="false">Budget!B24+Budget!D24+Budget!F24+Budget!H24+Budget!J24+Budget!L24+Budget!N24+Budget!P24+Budget!R24+Budget!T24+Budget!V24+Budget!X24</f>
        <v>1440</v>
      </c>
      <c r="C16" s="15" t="n">
        <f aca="false">Budget!C24+Budget!E24+Budget!G24+Budget!I24+Budget!K24+Budget!M24+Budget!O24+Budget!Q24+Budget!S24+Budget!U24+Budget!W24+Budget!Y24</f>
        <v>1564</v>
      </c>
      <c r="D16" s="16" t="n">
        <f aca="false">B16-C16</f>
        <v>-124</v>
      </c>
      <c r="E16" s="17" t="n">
        <f aca="false">IF($C$21=0,0,C16/$C$21)</f>
        <v>0.0220483541270177</v>
      </c>
    </row>
    <row r="17" customFormat="false" ht="15" hidden="false" customHeight="false" outlineLevel="0" collapsed="false">
      <c r="A17" s="14" t="str">
        <f aca="false">Budget!A25</f>
        <v>Fun &amp; entertainment</v>
      </c>
      <c r="B17" s="15" t="n">
        <f aca="false">Budget!B25+Budget!D25+Budget!F25+Budget!H25+Budget!J25+Budget!L25+Budget!N25+Budget!P25+Budget!R25+Budget!T25+Budget!V25+Budget!X25</f>
        <v>2400</v>
      </c>
      <c r="C17" s="15" t="n">
        <f aca="false">Budget!C25+Budget!E25+Budget!G25+Budget!I25+Budget!K25+Budget!M25+Budget!O25+Budget!Q25+Budget!S25+Budget!U25+Budget!W25+Budget!Y25</f>
        <v>2497</v>
      </c>
      <c r="D17" s="16" t="n">
        <f aca="false">B17-C17</f>
        <v>-97</v>
      </c>
      <c r="E17" s="17" t="n">
        <f aca="false">IF($C$21=0,0,C17/$C$21)</f>
        <v>0.035201240572355</v>
      </c>
    </row>
    <row r="18" customFormat="false" ht="15" hidden="false" customHeight="false" outlineLevel="0" collapsed="false">
      <c r="A18" s="14" t="str">
        <f aca="false">Budget!A26</f>
        <v>Giving</v>
      </c>
      <c r="B18" s="15" t="n">
        <f aca="false">Budget!B26+Budget!D26+Budget!F26+Budget!H26+Budget!J26+Budget!L26+Budget!N26+Budget!P26+Budget!R26+Budget!T26+Budget!V26+Budget!X26</f>
        <v>1200</v>
      </c>
      <c r="C18" s="15" t="n">
        <f aca="false">Budget!C26+Budget!E26+Budget!G26+Budget!I26+Budget!K26+Budget!M26+Budget!O26+Budget!Q26+Budget!S26+Budget!U26+Budget!W26+Budget!Y26</f>
        <v>1208</v>
      </c>
      <c r="D18" s="16" t="n">
        <f aca="false">B18-C18</f>
        <v>-8</v>
      </c>
      <c r="E18" s="17" t="n">
        <f aca="false">IF($C$21=0,0,C18/$C$21)</f>
        <v>0.0170296750546275</v>
      </c>
    </row>
    <row r="19" customFormat="false" ht="15" hidden="false" customHeight="false" outlineLevel="0" collapsed="false">
      <c r="A19" s="14" t="str">
        <f aca="false">Budget!A27</f>
        <v>Savings &amp; investing</v>
      </c>
      <c r="B19" s="15" t="n">
        <f aca="false">Budget!B27+Budget!D27+Budget!F27+Budget!H27+Budget!J27+Budget!L27+Budget!N27+Budget!P27+Budget!R27+Budget!T27+Budget!V27+Budget!X27</f>
        <v>9600</v>
      </c>
      <c r="C19" s="15" t="n">
        <f aca="false">Budget!C27+Budget!E27+Budget!G27+Budget!I27+Budget!K27+Budget!M27+Budget!O27+Budget!Q27+Budget!S27+Budget!U27+Budget!W27+Budget!Y27</f>
        <v>9443</v>
      </c>
      <c r="D19" s="16" t="n">
        <f aca="false">B19-C19</f>
        <v>157</v>
      </c>
      <c r="E19" s="17" t="n">
        <f aca="false">IF($C$21=0,0,C19/$C$21)</f>
        <v>0.133121872136463</v>
      </c>
    </row>
    <row r="20" customFormat="false" ht="15" hidden="false" customHeight="false" outlineLevel="0" collapsed="false">
      <c r="A20" s="14" t="str">
        <f aca="false">Budget!A28</f>
        <v>Misc / buffer</v>
      </c>
      <c r="B20" s="15" t="n">
        <f aca="false">Budget!B28+Budget!D28+Budget!F28+Budget!H28+Budget!J28+Budget!L28+Budget!N28+Budget!P28+Budget!R28+Budget!T28+Budget!V28+Budget!X28</f>
        <v>1800</v>
      </c>
      <c r="C20" s="15" t="n">
        <f aca="false">Budget!C28+Budget!E28+Budget!G28+Budget!I28+Budget!K28+Budget!M28+Budget!O28+Budget!Q28+Budget!S28+Budget!U28+Budget!W28+Budget!Y28</f>
        <v>1850</v>
      </c>
      <c r="D20" s="16" t="n">
        <f aca="false">B20-C20</f>
        <v>-50</v>
      </c>
      <c r="E20" s="17" t="n">
        <f aca="false">IF($C$21=0,0,C20/$C$21)</f>
        <v>0.0260802142806795</v>
      </c>
    </row>
    <row r="21" customFormat="false" ht="15" hidden="false" customHeight="false" outlineLevel="0" collapsed="false">
      <c r="A21" s="18" t="s">
        <v>42</v>
      </c>
      <c r="B21" s="19" t="n">
        <f aca="false">SUM(B5:B20)</f>
        <v>70800</v>
      </c>
      <c r="C21" s="19" t="n">
        <f aca="false">SUM(C5:C20)</f>
        <v>70935</v>
      </c>
      <c r="D21" s="19" t="n">
        <f aca="false">SUM(D5:D20)</f>
        <v>-135</v>
      </c>
      <c r="E21" s="20" t="n">
        <f aca="false">SUM(E5:E20)</f>
        <v>1</v>
      </c>
    </row>
    <row r="23" customFormat="false" ht="15" hidden="false" customHeight="false" outlineLevel="0" collapsed="false">
      <c r="A23" s="21" t="s">
        <v>43</v>
      </c>
      <c r="B23" s="15" t="n">
        <f aca="false">Budget!C10+Budget!E10+Budget!G10+Budget!I10+Budget!K10+Budget!M10+Budget!O10+Budget!Q10+Budget!S10+Budget!U10+Budget!W10+Budget!Y10</f>
        <v>82080</v>
      </c>
    </row>
    <row r="24" customFormat="false" ht="15" hidden="false" customHeight="false" outlineLevel="0" collapsed="false">
      <c r="A24" s="21" t="s">
        <v>44</v>
      </c>
      <c r="B24" s="15" t="n">
        <f aca="false">C19</f>
        <v>9443</v>
      </c>
    </row>
    <row r="25" customFormat="false" ht="15" hidden="false" customHeight="false" outlineLevel="0" collapsed="false">
      <c r="A25" s="18" t="s">
        <v>45</v>
      </c>
      <c r="B25" s="20" t="n">
        <f aca="false">IF(B23=0,0,B24/B23)</f>
        <v>0.115046296296296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5" min="2" style="0" width="10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2" t="s">
        <v>48</v>
      </c>
    </row>
    <row r="5" customFormat="false" ht="30" hidden="false" customHeight="true" outlineLevel="0" collapsed="false">
      <c r="A5" s="13" t="s">
        <v>37</v>
      </c>
      <c r="B5" s="13" t="s">
        <v>49</v>
      </c>
      <c r="C5" s="13" t="s">
        <v>50</v>
      </c>
      <c r="D5" s="13" t="s">
        <v>51</v>
      </c>
      <c r="E5" s="13" t="s">
        <v>52</v>
      </c>
      <c r="F5" s="13" t="s">
        <v>53</v>
      </c>
      <c r="G5" s="13" t="s">
        <v>54</v>
      </c>
      <c r="H5" s="13" t="s">
        <v>55</v>
      </c>
      <c r="I5" s="13" t="s">
        <v>56</v>
      </c>
      <c r="J5" s="13" t="s">
        <v>57</v>
      </c>
      <c r="K5" s="13" t="s">
        <v>58</v>
      </c>
      <c r="L5" s="13" t="s">
        <v>59</v>
      </c>
      <c r="M5" s="13" t="s">
        <v>60</v>
      </c>
      <c r="N5" s="13" t="s">
        <v>61</v>
      </c>
      <c r="O5" s="13" t="s">
        <v>62</v>
      </c>
      <c r="P5" s="13" t="s">
        <v>63</v>
      </c>
      <c r="Q5" s="13" t="s">
        <v>64</v>
      </c>
      <c r="R5" s="13" t="s">
        <v>65</v>
      </c>
      <c r="S5" s="13" t="s">
        <v>66</v>
      </c>
      <c r="T5" s="13" t="s">
        <v>67</v>
      </c>
      <c r="U5" s="13" t="s">
        <v>68</v>
      </c>
      <c r="V5" s="13" t="s">
        <v>69</v>
      </c>
      <c r="W5" s="13" t="s">
        <v>70</v>
      </c>
      <c r="X5" s="13" t="s">
        <v>71</v>
      </c>
      <c r="Y5" s="13" t="s">
        <v>72</v>
      </c>
    </row>
    <row r="6" customFormat="false" ht="15" hidden="false" customHeight="false" outlineLevel="0" collapsed="false">
      <c r="A6" s="3" t="s">
        <v>73</v>
      </c>
    </row>
    <row r="7" customFormat="false" ht="15" hidden="false" customHeight="false" outlineLevel="0" collapsed="false">
      <c r="A7" s="22" t="s">
        <v>74</v>
      </c>
      <c r="B7" s="23" t="n">
        <v>3900</v>
      </c>
      <c r="C7" s="23" t="n">
        <v>3881</v>
      </c>
      <c r="D7" s="23" t="n">
        <v>3900</v>
      </c>
      <c r="E7" s="23" t="n">
        <v>3923</v>
      </c>
      <c r="F7" s="23" t="n">
        <v>3900</v>
      </c>
      <c r="G7" s="23" t="n">
        <v>4065</v>
      </c>
      <c r="H7" s="23" t="n">
        <v>3900</v>
      </c>
      <c r="I7" s="23" t="n">
        <v>3887</v>
      </c>
      <c r="J7" s="23" t="n">
        <v>3900</v>
      </c>
      <c r="K7" s="23" t="n">
        <v>3903</v>
      </c>
      <c r="L7" s="23" t="n">
        <v>3900</v>
      </c>
      <c r="M7" s="23" t="n">
        <v>3934</v>
      </c>
      <c r="N7" s="23" t="n">
        <v>3900</v>
      </c>
      <c r="O7" s="23" t="n">
        <v>3777</v>
      </c>
      <c r="P7" s="23" t="n">
        <v>3900</v>
      </c>
      <c r="Q7" s="23" t="n">
        <v>3905</v>
      </c>
      <c r="R7" s="23" t="n">
        <v>3900</v>
      </c>
      <c r="S7" s="23" t="n">
        <v>3951</v>
      </c>
      <c r="T7" s="23" t="n">
        <v>3900</v>
      </c>
      <c r="U7" s="23" t="n">
        <v>4014</v>
      </c>
      <c r="V7" s="23" t="n">
        <v>3900</v>
      </c>
      <c r="W7" s="23" t="n">
        <v>3742</v>
      </c>
      <c r="X7" s="23" t="n">
        <v>3900</v>
      </c>
      <c r="Y7" s="23" t="n">
        <v>3823</v>
      </c>
    </row>
    <row r="8" customFormat="false" ht="15" hidden="false" customHeight="false" outlineLevel="0" collapsed="false">
      <c r="A8" s="22" t="s">
        <v>75</v>
      </c>
      <c r="B8" s="23" t="n">
        <v>2600</v>
      </c>
      <c r="C8" s="23" t="n">
        <v>2494</v>
      </c>
      <c r="D8" s="23" t="n">
        <v>2600</v>
      </c>
      <c r="E8" s="23" t="n">
        <v>2681</v>
      </c>
      <c r="F8" s="23" t="n">
        <v>2600</v>
      </c>
      <c r="G8" s="23" t="n">
        <v>2650</v>
      </c>
      <c r="H8" s="23" t="n">
        <v>2600</v>
      </c>
      <c r="I8" s="23" t="n">
        <v>2481</v>
      </c>
      <c r="J8" s="23" t="n">
        <v>2600</v>
      </c>
      <c r="K8" s="23" t="n">
        <v>2725</v>
      </c>
      <c r="L8" s="23" t="n">
        <v>2600</v>
      </c>
      <c r="M8" s="23" t="n">
        <v>2721</v>
      </c>
      <c r="N8" s="23" t="n">
        <v>2600</v>
      </c>
      <c r="O8" s="23" t="n">
        <v>2640</v>
      </c>
      <c r="P8" s="23" t="n">
        <v>2600</v>
      </c>
      <c r="Q8" s="23" t="n">
        <v>2630</v>
      </c>
      <c r="R8" s="23" t="n">
        <v>2600</v>
      </c>
      <c r="S8" s="23" t="n">
        <v>2511</v>
      </c>
      <c r="T8" s="23" t="n">
        <v>2600</v>
      </c>
      <c r="U8" s="23" t="n">
        <v>2474</v>
      </c>
      <c r="V8" s="23" t="n">
        <v>2600</v>
      </c>
      <c r="W8" s="23" t="n">
        <v>2607</v>
      </c>
      <c r="X8" s="23" t="n">
        <v>2600</v>
      </c>
      <c r="Y8" s="23" t="n">
        <v>2485</v>
      </c>
    </row>
    <row r="9" customFormat="false" ht="15" hidden="false" customHeight="false" outlineLevel="0" collapsed="false">
      <c r="A9" s="22" t="s">
        <v>76</v>
      </c>
      <c r="B9" s="23" t="n">
        <v>350</v>
      </c>
      <c r="C9" s="23" t="n">
        <v>339</v>
      </c>
      <c r="D9" s="23" t="n">
        <v>350</v>
      </c>
      <c r="E9" s="23" t="n">
        <v>341</v>
      </c>
      <c r="F9" s="23" t="n">
        <v>350</v>
      </c>
      <c r="G9" s="23" t="n">
        <v>334</v>
      </c>
      <c r="H9" s="23" t="n">
        <v>350</v>
      </c>
      <c r="I9" s="23" t="n">
        <v>349</v>
      </c>
      <c r="J9" s="23" t="n">
        <v>350</v>
      </c>
      <c r="K9" s="23" t="n">
        <v>348</v>
      </c>
      <c r="L9" s="23" t="n">
        <v>350</v>
      </c>
      <c r="M9" s="23" t="n">
        <v>362</v>
      </c>
      <c r="N9" s="23" t="n">
        <v>350</v>
      </c>
      <c r="O9" s="23" t="n">
        <v>351</v>
      </c>
      <c r="P9" s="23" t="n">
        <v>350</v>
      </c>
      <c r="Q9" s="23" t="n">
        <v>355</v>
      </c>
      <c r="R9" s="23" t="n">
        <v>350</v>
      </c>
      <c r="S9" s="23" t="n">
        <v>350</v>
      </c>
      <c r="T9" s="23" t="n">
        <v>350</v>
      </c>
      <c r="U9" s="23" t="n">
        <v>356</v>
      </c>
      <c r="V9" s="23" t="n">
        <v>350</v>
      </c>
      <c r="W9" s="23" t="n">
        <v>349</v>
      </c>
      <c r="X9" s="23" t="n">
        <v>350</v>
      </c>
      <c r="Y9" s="23" t="n">
        <v>342</v>
      </c>
    </row>
    <row r="10" customFormat="false" ht="15" hidden="false" customHeight="false" outlineLevel="0" collapsed="false">
      <c r="A10" s="18" t="s">
        <v>77</v>
      </c>
      <c r="B10" s="19" t="n">
        <f aca="false">SUM(B7:B9)</f>
        <v>6850</v>
      </c>
      <c r="C10" s="19" t="n">
        <f aca="false">SUM(C7:C9)</f>
        <v>6714</v>
      </c>
      <c r="D10" s="19" t="n">
        <f aca="false">SUM(D7:D9)</f>
        <v>6850</v>
      </c>
      <c r="E10" s="19" t="n">
        <f aca="false">SUM(E7:E9)</f>
        <v>6945</v>
      </c>
      <c r="F10" s="19" t="n">
        <f aca="false">SUM(F7:F9)</f>
        <v>6850</v>
      </c>
      <c r="G10" s="19" t="n">
        <f aca="false">SUM(G7:G9)</f>
        <v>7049</v>
      </c>
      <c r="H10" s="19" t="n">
        <f aca="false">SUM(H7:H9)</f>
        <v>6850</v>
      </c>
      <c r="I10" s="19" t="n">
        <f aca="false">SUM(I7:I9)</f>
        <v>6717</v>
      </c>
      <c r="J10" s="19" t="n">
        <f aca="false">SUM(J7:J9)</f>
        <v>6850</v>
      </c>
      <c r="K10" s="19" t="n">
        <f aca="false">SUM(K7:K9)</f>
        <v>6976</v>
      </c>
      <c r="L10" s="19" t="n">
        <f aca="false">SUM(L7:L9)</f>
        <v>6850</v>
      </c>
      <c r="M10" s="19" t="n">
        <f aca="false">SUM(M7:M9)</f>
        <v>7017</v>
      </c>
      <c r="N10" s="19" t="n">
        <f aca="false">SUM(N7:N9)</f>
        <v>6850</v>
      </c>
      <c r="O10" s="19" t="n">
        <f aca="false">SUM(O7:O9)</f>
        <v>6768</v>
      </c>
      <c r="P10" s="19" t="n">
        <f aca="false">SUM(P7:P9)</f>
        <v>6850</v>
      </c>
      <c r="Q10" s="19" t="n">
        <f aca="false">SUM(Q7:Q9)</f>
        <v>6890</v>
      </c>
      <c r="R10" s="19" t="n">
        <f aca="false">SUM(R7:R9)</f>
        <v>6850</v>
      </c>
      <c r="S10" s="19" t="n">
        <f aca="false">SUM(S7:S9)</f>
        <v>6812</v>
      </c>
      <c r="T10" s="19" t="n">
        <f aca="false">SUM(T7:T9)</f>
        <v>6850</v>
      </c>
      <c r="U10" s="19" t="n">
        <f aca="false">SUM(U7:U9)</f>
        <v>6844</v>
      </c>
      <c r="V10" s="19" t="n">
        <f aca="false">SUM(V7:V9)</f>
        <v>6850</v>
      </c>
      <c r="W10" s="19" t="n">
        <f aca="false">SUM(W7:W9)</f>
        <v>6698</v>
      </c>
      <c r="X10" s="19" t="n">
        <f aca="false">SUM(X7:X9)</f>
        <v>6850</v>
      </c>
      <c r="Y10" s="19" t="n">
        <f aca="false">SUM(Y7:Y9)</f>
        <v>6650</v>
      </c>
    </row>
    <row r="12" customFormat="false" ht="15" hidden="false" customHeight="false" outlineLevel="0" collapsed="false">
      <c r="A12" s="3" t="s">
        <v>78</v>
      </c>
    </row>
    <row r="13" customFormat="false" ht="15" hidden="false" customHeight="false" outlineLevel="0" collapsed="false">
      <c r="A13" s="22" t="s">
        <v>79</v>
      </c>
      <c r="B13" s="23" t="n">
        <v>1850</v>
      </c>
      <c r="C13" s="23" t="n">
        <v>2218</v>
      </c>
      <c r="D13" s="23" t="n">
        <v>1850</v>
      </c>
      <c r="E13" s="23" t="n">
        <v>2217</v>
      </c>
      <c r="F13" s="23" t="n">
        <v>1850</v>
      </c>
      <c r="G13" s="23" t="n">
        <v>2102</v>
      </c>
      <c r="H13" s="23" t="n">
        <v>1850</v>
      </c>
      <c r="I13" s="23" t="n">
        <v>2004</v>
      </c>
      <c r="J13" s="23" t="n">
        <v>1850</v>
      </c>
      <c r="K13" s="23" t="n">
        <v>1713</v>
      </c>
      <c r="L13" s="23" t="n">
        <v>1850</v>
      </c>
      <c r="M13" s="23" t="n">
        <v>1650</v>
      </c>
      <c r="N13" s="23" t="n">
        <v>1850</v>
      </c>
      <c r="O13" s="23" t="n">
        <v>1694</v>
      </c>
      <c r="P13" s="23" t="n">
        <v>1850</v>
      </c>
      <c r="Q13" s="23" t="n">
        <v>1532</v>
      </c>
      <c r="R13" s="23" t="n">
        <v>1850</v>
      </c>
      <c r="S13" s="23" t="n">
        <v>2047</v>
      </c>
      <c r="T13" s="23" t="n">
        <v>1850</v>
      </c>
      <c r="U13" s="23" t="n">
        <v>1776</v>
      </c>
      <c r="V13" s="23" t="n">
        <v>1850</v>
      </c>
      <c r="W13" s="23" t="n">
        <v>2106</v>
      </c>
      <c r="X13" s="23" t="n">
        <v>1850</v>
      </c>
      <c r="Y13" s="23" t="n">
        <v>1766</v>
      </c>
    </row>
    <row r="14" customFormat="false" ht="15" hidden="false" customHeight="false" outlineLevel="0" collapsed="false">
      <c r="A14" s="22" t="s">
        <v>80</v>
      </c>
      <c r="B14" s="23" t="n">
        <v>220</v>
      </c>
      <c r="C14" s="23" t="n">
        <v>260</v>
      </c>
      <c r="D14" s="23" t="n">
        <v>220</v>
      </c>
      <c r="E14" s="23" t="n">
        <v>251</v>
      </c>
      <c r="F14" s="23" t="n">
        <v>220</v>
      </c>
      <c r="G14" s="23" t="n">
        <v>176</v>
      </c>
      <c r="H14" s="23" t="n">
        <v>220</v>
      </c>
      <c r="I14" s="23" t="n">
        <v>194</v>
      </c>
      <c r="J14" s="23" t="n">
        <v>220</v>
      </c>
      <c r="K14" s="23" t="n">
        <v>256</v>
      </c>
      <c r="L14" s="23" t="n">
        <v>220</v>
      </c>
      <c r="M14" s="23" t="n">
        <v>217</v>
      </c>
      <c r="N14" s="23" t="n">
        <v>220</v>
      </c>
      <c r="O14" s="23" t="n">
        <v>262</v>
      </c>
      <c r="P14" s="23" t="n">
        <v>220</v>
      </c>
      <c r="Q14" s="23" t="n">
        <v>211</v>
      </c>
      <c r="R14" s="23" t="n">
        <v>220</v>
      </c>
      <c r="S14" s="23" t="n">
        <v>182</v>
      </c>
      <c r="T14" s="23" t="n">
        <v>220</v>
      </c>
      <c r="U14" s="23" t="n">
        <v>231</v>
      </c>
      <c r="V14" s="23" t="n">
        <v>220</v>
      </c>
      <c r="W14" s="23" t="n">
        <v>245</v>
      </c>
      <c r="X14" s="23" t="n">
        <v>220</v>
      </c>
      <c r="Y14" s="23" t="n">
        <v>200</v>
      </c>
    </row>
    <row r="15" customFormat="false" ht="15" hidden="false" customHeight="false" outlineLevel="0" collapsed="false">
      <c r="A15" s="22" t="s">
        <v>81</v>
      </c>
      <c r="B15" s="23" t="n">
        <v>650</v>
      </c>
      <c r="C15" s="23" t="n">
        <v>543</v>
      </c>
      <c r="D15" s="23" t="n">
        <v>650</v>
      </c>
      <c r="E15" s="23" t="n">
        <v>606</v>
      </c>
      <c r="F15" s="23" t="n">
        <v>650</v>
      </c>
      <c r="G15" s="23" t="n">
        <v>771</v>
      </c>
      <c r="H15" s="23" t="n">
        <v>650</v>
      </c>
      <c r="I15" s="23" t="n">
        <v>717</v>
      </c>
      <c r="J15" s="23" t="n">
        <v>650</v>
      </c>
      <c r="K15" s="23" t="n">
        <v>551</v>
      </c>
      <c r="L15" s="23" t="n">
        <v>650</v>
      </c>
      <c r="M15" s="23" t="n">
        <v>584</v>
      </c>
      <c r="N15" s="23" t="n">
        <v>650</v>
      </c>
      <c r="O15" s="23" t="n">
        <v>546</v>
      </c>
      <c r="P15" s="23" t="n">
        <v>650</v>
      </c>
      <c r="Q15" s="23" t="n">
        <v>536</v>
      </c>
      <c r="R15" s="23" t="n">
        <v>650</v>
      </c>
      <c r="S15" s="23" t="n">
        <v>727</v>
      </c>
      <c r="T15" s="23" t="n">
        <v>650</v>
      </c>
      <c r="U15" s="23" t="n">
        <v>566</v>
      </c>
      <c r="V15" s="23" t="n">
        <v>650</v>
      </c>
      <c r="W15" s="23" t="n">
        <v>665</v>
      </c>
      <c r="X15" s="23" t="n">
        <v>650</v>
      </c>
      <c r="Y15" s="23" t="n">
        <v>636</v>
      </c>
    </row>
    <row r="16" customFormat="false" ht="15" hidden="false" customHeight="false" outlineLevel="0" collapsed="false">
      <c r="A16" s="22" t="s">
        <v>82</v>
      </c>
      <c r="B16" s="23" t="n">
        <v>250</v>
      </c>
      <c r="C16" s="23" t="n">
        <v>219</v>
      </c>
      <c r="D16" s="23" t="n">
        <v>250</v>
      </c>
      <c r="E16" s="23" t="n">
        <v>273</v>
      </c>
      <c r="F16" s="23" t="n">
        <v>250</v>
      </c>
      <c r="G16" s="23" t="n">
        <v>213</v>
      </c>
      <c r="H16" s="23" t="n">
        <v>250</v>
      </c>
      <c r="I16" s="23" t="n">
        <v>264</v>
      </c>
      <c r="J16" s="23" t="n">
        <v>250</v>
      </c>
      <c r="K16" s="23" t="n">
        <v>212</v>
      </c>
      <c r="L16" s="23" t="n">
        <v>250</v>
      </c>
      <c r="M16" s="23" t="n">
        <v>242</v>
      </c>
      <c r="N16" s="23" t="n">
        <v>250</v>
      </c>
      <c r="O16" s="23" t="n">
        <v>221</v>
      </c>
      <c r="P16" s="23" t="n">
        <v>250</v>
      </c>
      <c r="Q16" s="23" t="n">
        <v>227</v>
      </c>
      <c r="R16" s="23" t="n">
        <v>250</v>
      </c>
      <c r="S16" s="23" t="n">
        <v>297</v>
      </c>
      <c r="T16" s="23" t="n">
        <v>250</v>
      </c>
      <c r="U16" s="23" t="n">
        <v>280</v>
      </c>
      <c r="V16" s="23" t="n">
        <v>250</v>
      </c>
      <c r="W16" s="23" t="n">
        <v>230</v>
      </c>
      <c r="X16" s="23" t="n">
        <v>250</v>
      </c>
      <c r="Y16" s="23" t="n">
        <v>288</v>
      </c>
    </row>
    <row r="17" customFormat="false" ht="15" hidden="false" customHeight="false" outlineLevel="0" collapsed="false">
      <c r="A17" s="22" t="s">
        <v>83</v>
      </c>
      <c r="B17" s="23" t="n">
        <v>300</v>
      </c>
      <c r="C17" s="23" t="n">
        <v>265</v>
      </c>
      <c r="D17" s="23" t="n">
        <v>300</v>
      </c>
      <c r="E17" s="23" t="n">
        <v>287</v>
      </c>
      <c r="F17" s="23" t="n">
        <v>300</v>
      </c>
      <c r="G17" s="23" t="n">
        <v>343</v>
      </c>
      <c r="H17" s="23" t="n">
        <v>300</v>
      </c>
      <c r="I17" s="23" t="n">
        <v>317</v>
      </c>
      <c r="J17" s="23" t="n">
        <v>300</v>
      </c>
      <c r="K17" s="23" t="n">
        <v>252</v>
      </c>
      <c r="L17" s="23" t="n">
        <v>300</v>
      </c>
      <c r="M17" s="23" t="n">
        <v>359</v>
      </c>
      <c r="N17" s="23" t="n">
        <v>300</v>
      </c>
      <c r="O17" s="23" t="n">
        <v>266</v>
      </c>
      <c r="P17" s="23" t="n">
        <v>300</v>
      </c>
      <c r="Q17" s="23" t="n">
        <v>271</v>
      </c>
      <c r="R17" s="23" t="n">
        <v>300</v>
      </c>
      <c r="S17" s="23" t="n">
        <v>333</v>
      </c>
      <c r="T17" s="23" t="n">
        <v>300</v>
      </c>
      <c r="U17" s="23" t="n">
        <v>279</v>
      </c>
      <c r="V17" s="23" t="n">
        <v>300</v>
      </c>
      <c r="W17" s="23" t="n">
        <v>276</v>
      </c>
      <c r="X17" s="23" t="n">
        <v>300</v>
      </c>
      <c r="Y17" s="23" t="n">
        <v>249</v>
      </c>
    </row>
    <row r="18" customFormat="false" ht="15" hidden="false" customHeight="false" outlineLevel="0" collapsed="false">
      <c r="A18" s="22" t="s">
        <v>84</v>
      </c>
      <c r="B18" s="23" t="n">
        <v>260</v>
      </c>
      <c r="C18" s="23" t="n">
        <v>217</v>
      </c>
      <c r="D18" s="23" t="n">
        <v>260</v>
      </c>
      <c r="E18" s="23" t="n">
        <v>269</v>
      </c>
      <c r="F18" s="23" t="n">
        <v>260</v>
      </c>
      <c r="G18" s="23" t="n">
        <v>233</v>
      </c>
      <c r="H18" s="23" t="n">
        <v>260</v>
      </c>
      <c r="I18" s="23" t="n">
        <v>271</v>
      </c>
      <c r="J18" s="23" t="n">
        <v>260</v>
      </c>
      <c r="K18" s="23" t="n">
        <v>247</v>
      </c>
      <c r="L18" s="23" t="n">
        <v>260</v>
      </c>
      <c r="M18" s="23" t="n">
        <v>255</v>
      </c>
      <c r="N18" s="23" t="n">
        <v>260</v>
      </c>
      <c r="O18" s="23" t="n">
        <v>308</v>
      </c>
      <c r="P18" s="23" t="n">
        <v>260</v>
      </c>
      <c r="Q18" s="23" t="n">
        <v>258</v>
      </c>
      <c r="R18" s="23" t="n">
        <v>260</v>
      </c>
      <c r="S18" s="23" t="n">
        <v>268</v>
      </c>
      <c r="T18" s="23" t="n">
        <v>260</v>
      </c>
      <c r="U18" s="23" t="n">
        <v>298</v>
      </c>
      <c r="V18" s="23" t="n">
        <v>260</v>
      </c>
      <c r="W18" s="23" t="n">
        <v>227</v>
      </c>
      <c r="X18" s="23" t="n">
        <v>260</v>
      </c>
      <c r="Y18" s="23" t="n">
        <v>224</v>
      </c>
    </row>
    <row r="19" customFormat="false" ht="15" hidden="false" customHeight="false" outlineLevel="0" collapsed="false">
      <c r="A19" s="22" t="s">
        <v>85</v>
      </c>
      <c r="B19" s="23" t="n">
        <v>140</v>
      </c>
      <c r="C19" s="23" t="n">
        <v>163</v>
      </c>
      <c r="D19" s="23" t="n">
        <v>140</v>
      </c>
      <c r="E19" s="23" t="n">
        <v>158</v>
      </c>
      <c r="F19" s="23" t="n">
        <v>140</v>
      </c>
      <c r="G19" s="23" t="n">
        <v>126</v>
      </c>
      <c r="H19" s="23" t="n">
        <v>140</v>
      </c>
      <c r="I19" s="23" t="n">
        <v>123</v>
      </c>
      <c r="J19" s="23" t="n">
        <v>140</v>
      </c>
      <c r="K19" s="23" t="n">
        <v>153</v>
      </c>
      <c r="L19" s="23" t="n">
        <v>140</v>
      </c>
      <c r="M19" s="23" t="n">
        <v>165</v>
      </c>
      <c r="N19" s="23" t="n">
        <v>140</v>
      </c>
      <c r="O19" s="23" t="n">
        <v>123</v>
      </c>
      <c r="P19" s="23" t="n">
        <v>140</v>
      </c>
      <c r="Q19" s="23" t="n">
        <v>165</v>
      </c>
      <c r="R19" s="23" t="n">
        <v>140</v>
      </c>
      <c r="S19" s="23" t="n">
        <v>161</v>
      </c>
      <c r="T19" s="23" t="n">
        <v>140</v>
      </c>
      <c r="U19" s="23" t="n">
        <v>146</v>
      </c>
      <c r="V19" s="23" t="n">
        <v>140</v>
      </c>
      <c r="W19" s="23" t="n">
        <v>136</v>
      </c>
      <c r="X19" s="23" t="n">
        <v>140</v>
      </c>
      <c r="Y19" s="23" t="n">
        <v>118</v>
      </c>
    </row>
    <row r="20" customFormat="false" ht="15" hidden="false" customHeight="false" outlineLevel="0" collapsed="false">
      <c r="A20" s="22" t="s">
        <v>86</v>
      </c>
      <c r="B20" s="23" t="n">
        <v>60</v>
      </c>
      <c r="C20" s="23" t="n">
        <v>49</v>
      </c>
      <c r="D20" s="23" t="n">
        <v>60</v>
      </c>
      <c r="E20" s="23" t="n">
        <v>71</v>
      </c>
      <c r="F20" s="23" t="n">
        <v>60</v>
      </c>
      <c r="G20" s="23" t="n">
        <v>54</v>
      </c>
      <c r="H20" s="23" t="n">
        <v>60</v>
      </c>
      <c r="I20" s="23" t="n">
        <v>65</v>
      </c>
      <c r="J20" s="23" t="n">
        <v>60</v>
      </c>
      <c r="K20" s="23" t="n">
        <v>54</v>
      </c>
      <c r="L20" s="23" t="n">
        <v>60</v>
      </c>
      <c r="M20" s="23" t="n">
        <v>68</v>
      </c>
      <c r="N20" s="23" t="n">
        <v>60</v>
      </c>
      <c r="O20" s="23" t="n">
        <v>62</v>
      </c>
      <c r="P20" s="23" t="n">
        <v>60</v>
      </c>
      <c r="Q20" s="23" t="n">
        <v>55</v>
      </c>
      <c r="R20" s="23" t="n">
        <v>60</v>
      </c>
      <c r="S20" s="23" t="n">
        <v>52</v>
      </c>
      <c r="T20" s="23" t="n">
        <v>60</v>
      </c>
      <c r="U20" s="23" t="n">
        <v>65</v>
      </c>
      <c r="V20" s="23" t="n">
        <v>60</v>
      </c>
      <c r="W20" s="23" t="n">
        <v>50</v>
      </c>
      <c r="X20" s="23" t="n">
        <v>60</v>
      </c>
      <c r="Y20" s="23" t="n">
        <v>53</v>
      </c>
    </row>
    <row r="21" customFormat="false" ht="15" hidden="false" customHeight="false" outlineLevel="0" collapsed="false">
      <c r="A21" s="22" t="s">
        <v>87</v>
      </c>
      <c r="B21" s="23" t="n">
        <v>450</v>
      </c>
      <c r="C21" s="23" t="n">
        <v>461</v>
      </c>
      <c r="D21" s="23" t="n">
        <v>450</v>
      </c>
      <c r="E21" s="23" t="n">
        <v>513</v>
      </c>
      <c r="F21" s="23" t="n">
        <v>450</v>
      </c>
      <c r="G21" s="23" t="n">
        <v>471</v>
      </c>
      <c r="H21" s="23" t="n">
        <v>450</v>
      </c>
      <c r="I21" s="23" t="n">
        <v>410</v>
      </c>
      <c r="J21" s="23" t="n">
        <v>450</v>
      </c>
      <c r="K21" s="23" t="n">
        <v>525</v>
      </c>
      <c r="L21" s="23" t="n">
        <v>450</v>
      </c>
      <c r="M21" s="23" t="n">
        <v>397</v>
      </c>
      <c r="N21" s="23" t="n">
        <v>450</v>
      </c>
      <c r="O21" s="23" t="n">
        <v>363</v>
      </c>
      <c r="P21" s="23" t="n">
        <v>450</v>
      </c>
      <c r="Q21" s="23" t="n">
        <v>408</v>
      </c>
      <c r="R21" s="23" t="n">
        <v>450</v>
      </c>
      <c r="S21" s="23" t="n">
        <v>440</v>
      </c>
      <c r="T21" s="23" t="n">
        <v>450</v>
      </c>
      <c r="U21" s="23" t="n">
        <v>371</v>
      </c>
      <c r="V21" s="23" t="n">
        <v>450</v>
      </c>
      <c r="W21" s="23" t="n">
        <v>392</v>
      </c>
      <c r="X21" s="23" t="n">
        <v>450</v>
      </c>
      <c r="Y21" s="23" t="n">
        <v>426</v>
      </c>
    </row>
    <row r="22" customFormat="false" ht="15" hidden="false" customHeight="false" outlineLevel="0" collapsed="false">
      <c r="A22" s="22" t="s">
        <v>88</v>
      </c>
      <c r="B22" s="23" t="n">
        <v>200</v>
      </c>
      <c r="C22" s="23" t="n">
        <v>206</v>
      </c>
      <c r="D22" s="23" t="n">
        <v>200</v>
      </c>
      <c r="E22" s="23" t="n">
        <v>171</v>
      </c>
      <c r="F22" s="23" t="n">
        <v>200</v>
      </c>
      <c r="G22" s="23" t="n">
        <v>189</v>
      </c>
      <c r="H22" s="23" t="n">
        <v>200</v>
      </c>
      <c r="I22" s="23" t="n">
        <v>231</v>
      </c>
      <c r="J22" s="23" t="n">
        <v>200</v>
      </c>
      <c r="K22" s="23" t="n">
        <v>238</v>
      </c>
      <c r="L22" s="23" t="n">
        <v>200</v>
      </c>
      <c r="M22" s="23" t="n">
        <v>213</v>
      </c>
      <c r="N22" s="23" t="n">
        <v>200</v>
      </c>
      <c r="O22" s="23" t="n">
        <v>215</v>
      </c>
      <c r="P22" s="23" t="n">
        <v>200</v>
      </c>
      <c r="Q22" s="23" t="n">
        <v>207</v>
      </c>
      <c r="R22" s="23" t="n">
        <v>200</v>
      </c>
      <c r="S22" s="23" t="n">
        <v>171</v>
      </c>
      <c r="T22" s="23" t="n">
        <v>200</v>
      </c>
      <c r="U22" s="23" t="n">
        <v>163</v>
      </c>
      <c r="V22" s="23" t="n">
        <v>200</v>
      </c>
      <c r="W22" s="23" t="n">
        <v>161</v>
      </c>
      <c r="X22" s="23" t="n">
        <v>200</v>
      </c>
      <c r="Y22" s="23" t="n">
        <v>233</v>
      </c>
    </row>
    <row r="23" customFormat="false" ht="15" hidden="false" customHeight="false" outlineLevel="0" collapsed="false">
      <c r="A23" s="22" t="s">
        <v>89</v>
      </c>
      <c r="B23" s="23" t="n">
        <v>150</v>
      </c>
      <c r="C23" s="23" t="n">
        <v>162</v>
      </c>
      <c r="D23" s="23" t="n">
        <v>150</v>
      </c>
      <c r="E23" s="23" t="n">
        <v>178</v>
      </c>
      <c r="F23" s="23" t="n">
        <v>150</v>
      </c>
      <c r="G23" s="23" t="n">
        <v>121</v>
      </c>
      <c r="H23" s="23" t="n">
        <v>150</v>
      </c>
      <c r="I23" s="23" t="n">
        <v>158</v>
      </c>
      <c r="J23" s="23" t="n">
        <v>150</v>
      </c>
      <c r="K23" s="23" t="n">
        <v>149</v>
      </c>
      <c r="L23" s="23" t="n">
        <v>150</v>
      </c>
      <c r="M23" s="23" t="n">
        <v>164</v>
      </c>
      <c r="N23" s="23" t="n">
        <v>150</v>
      </c>
      <c r="O23" s="23" t="n">
        <v>139</v>
      </c>
      <c r="P23" s="23" t="n">
        <v>150</v>
      </c>
      <c r="Q23" s="23" t="n">
        <v>180</v>
      </c>
      <c r="R23" s="23" t="n">
        <v>150</v>
      </c>
      <c r="S23" s="23" t="n">
        <v>125</v>
      </c>
      <c r="T23" s="23" t="n">
        <v>150</v>
      </c>
      <c r="U23" s="23" t="n">
        <v>153</v>
      </c>
      <c r="V23" s="23" t="n">
        <v>150</v>
      </c>
      <c r="W23" s="23" t="n">
        <v>164</v>
      </c>
      <c r="X23" s="23" t="n">
        <v>150</v>
      </c>
      <c r="Y23" s="23" t="n">
        <v>174</v>
      </c>
    </row>
    <row r="24" customFormat="false" ht="15" hidden="false" customHeight="false" outlineLevel="0" collapsed="false">
      <c r="A24" s="22" t="s">
        <v>90</v>
      </c>
      <c r="B24" s="23" t="n">
        <v>120</v>
      </c>
      <c r="C24" s="23" t="n">
        <v>131</v>
      </c>
      <c r="D24" s="23" t="n">
        <v>120</v>
      </c>
      <c r="E24" s="23" t="n">
        <v>130</v>
      </c>
      <c r="F24" s="23" t="n">
        <v>120</v>
      </c>
      <c r="G24" s="23" t="n">
        <v>134</v>
      </c>
      <c r="H24" s="23" t="n">
        <v>120</v>
      </c>
      <c r="I24" s="23" t="n">
        <v>140</v>
      </c>
      <c r="J24" s="23" t="n">
        <v>120</v>
      </c>
      <c r="K24" s="23" t="n">
        <v>113</v>
      </c>
      <c r="L24" s="23" t="n">
        <v>120</v>
      </c>
      <c r="M24" s="23" t="n">
        <v>129</v>
      </c>
      <c r="N24" s="23" t="n">
        <v>120</v>
      </c>
      <c r="O24" s="23" t="n">
        <v>139</v>
      </c>
      <c r="P24" s="23" t="n">
        <v>120</v>
      </c>
      <c r="Q24" s="23" t="n">
        <v>138</v>
      </c>
      <c r="R24" s="23" t="n">
        <v>120</v>
      </c>
      <c r="S24" s="23" t="n">
        <v>116</v>
      </c>
      <c r="T24" s="23" t="n">
        <v>120</v>
      </c>
      <c r="U24" s="23" t="n">
        <v>134</v>
      </c>
      <c r="V24" s="23" t="n">
        <v>120</v>
      </c>
      <c r="W24" s="23" t="n">
        <v>137</v>
      </c>
      <c r="X24" s="23" t="n">
        <v>120</v>
      </c>
      <c r="Y24" s="23" t="n">
        <v>123</v>
      </c>
    </row>
    <row r="25" customFormat="false" ht="15" hidden="false" customHeight="false" outlineLevel="0" collapsed="false">
      <c r="A25" s="22" t="s">
        <v>91</v>
      </c>
      <c r="B25" s="23" t="n">
        <v>200</v>
      </c>
      <c r="C25" s="23" t="n">
        <v>210</v>
      </c>
      <c r="D25" s="23" t="n">
        <v>200</v>
      </c>
      <c r="E25" s="23" t="n">
        <v>191</v>
      </c>
      <c r="F25" s="23" t="n">
        <v>200</v>
      </c>
      <c r="G25" s="23" t="n">
        <v>207</v>
      </c>
      <c r="H25" s="23" t="n">
        <v>200</v>
      </c>
      <c r="I25" s="23" t="n">
        <v>209</v>
      </c>
      <c r="J25" s="23" t="n">
        <v>200</v>
      </c>
      <c r="K25" s="23" t="n">
        <v>166</v>
      </c>
      <c r="L25" s="23" t="n">
        <v>200</v>
      </c>
      <c r="M25" s="23" t="n">
        <v>211</v>
      </c>
      <c r="N25" s="23" t="n">
        <v>200</v>
      </c>
      <c r="O25" s="23" t="n">
        <v>239</v>
      </c>
      <c r="P25" s="23" t="n">
        <v>200</v>
      </c>
      <c r="Q25" s="23" t="n">
        <v>230</v>
      </c>
      <c r="R25" s="23" t="n">
        <v>200</v>
      </c>
      <c r="S25" s="23" t="n">
        <v>218</v>
      </c>
      <c r="T25" s="23" t="n">
        <v>200</v>
      </c>
      <c r="U25" s="23" t="n">
        <v>191</v>
      </c>
      <c r="V25" s="23" t="n">
        <v>200</v>
      </c>
      <c r="W25" s="23" t="n">
        <v>219</v>
      </c>
      <c r="X25" s="23" t="n">
        <v>200</v>
      </c>
      <c r="Y25" s="23" t="n">
        <v>206</v>
      </c>
    </row>
    <row r="26" customFormat="false" ht="15" hidden="false" customHeight="false" outlineLevel="0" collapsed="false">
      <c r="A26" s="22" t="s">
        <v>92</v>
      </c>
      <c r="B26" s="23" t="n">
        <v>100</v>
      </c>
      <c r="C26" s="23" t="n">
        <v>98</v>
      </c>
      <c r="D26" s="23" t="n">
        <v>100</v>
      </c>
      <c r="E26" s="23" t="n">
        <v>114</v>
      </c>
      <c r="F26" s="23" t="n">
        <v>100</v>
      </c>
      <c r="G26" s="23" t="n">
        <v>83</v>
      </c>
      <c r="H26" s="23" t="n">
        <v>100</v>
      </c>
      <c r="I26" s="23" t="n">
        <v>110</v>
      </c>
      <c r="J26" s="23" t="n">
        <v>100</v>
      </c>
      <c r="K26" s="23" t="n">
        <v>81</v>
      </c>
      <c r="L26" s="23" t="n">
        <v>100</v>
      </c>
      <c r="M26" s="23" t="n">
        <v>104</v>
      </c>
      <c r="N26" s="23" t="n">
        <v>100</v>
      </c>
      <c r="O26" s="23" t="n">
        <v>99</v>
      </c>
      <c r="P26" s="23" t="n">
        <v>100</v>
      </c>
      <c r="Q26" s="23" t="n">
        <v>89</v>
      </c>
      <c r="R26" s="23" t="n">
        <v>100</v>
      </c>
      <c r="S26" s="23" t="n">
        <v>108</v>
      </c>
      <c r="T26" s="23" t="n">
        <v>100</v>
      </c>
      <c r="U26" s="23" t="n">
        <v>100</v>
      </c>
      <c r="V26" s="23" t="n">
        <v>100</v>
      </c>
      <c r="W26" s="23" t="n">
        <v>105</v>
      </c>
      <c r="X26" s="23" t="n">
        <v>100</v>
      </c>
      <c r="Y26" s="23" t="n">
        <v>117</v>
      </c>
    </row>
    <row r="27" customFormat="false" ht="15" hidden="false" customHeight="false" outlineLevel="0" collapsed="false">
      <c r="A27" s="22" t="s">
        <v>93</v>
      </c>
      <c r="B27" s="23" t="n">
        <v>800</v>
      </c>
      <c r="C27" s="23" t="n">
        <v>722</v>
      </c>
      <c r="D27" s="23" t="n">
        <v>800</v>
      </c>
      <c r="E27" s="23" t="n">
        <v>644</v>
      </c>
      <c r="F27" s="23" t="n">
        <v>800</v>
      </c>
      <c r="G27" s="23" t="n">
        <v>736</v>
      </c>
      <c r="H27" s="23" t="n">
        <v>800</v>
      </c>
      <c r="I27" s="23" t="n">
        <v>857</v>
      </c>
      <c r="J27" s="23" t="n">
        <v>800</v>
      </c>
      <c r="K27" s="23" t="n">
        <v>705</v>
      </c>
      <c r="L27" s="23" t="n">
        <v>800</v>
      </c>
      <c r="M27" s="23" t="n">
        <v>694</v>
      </c>
      <c r="N27" s="23" t="n">
        <v>800</v>
      </c>
      <c r="O27" s="23" t="n">
        <v>930</v>
      </c>
      <c r="P27" s="23" t="n">
        <v>800</v>
      </c>
      <c r="Q27" s="23" t="n">
        <v>851</v>
      </c>
      <c r="R27" s="23" t="n">
        <v>800</v>
      </c>
      <c r="S27" s="23" t="n">
        <v>781</v>
      </c>
      <c r="T27" s="23" t="n">
        <v>800</v>
      </c>
      <c r="U27" s="23" t="n">
        <v>925</v>
      </c>
      <c r="V27" s="23" t="n">
        <v>800</v>
      </c>
      <c r="W27" s="23" t="n">
        <v>745</v>
      </c>
      <c r="X27" s="23" t="n">
        <v>800</v>
      </c>
      <c r="Y27" s="23" t="n">
        <v>853</v>
      </c>
    </row>
    <row r="28" customFormat="false" ht="15" hidden="false" customHeight="false" outlineLevel="0" collapsed="false">
      <c r="A28" s="22" t="s">
        <v>94</v>
      </c>
      <c r="B28" s="23" t="n">
        <v>150</v>
      </c>
      <c r="C28" s="23" t="n">
        <v>132</v>
      </c>
      <c r="D28" s="23" t="n">
        <v>150</v>
      </c>
      <c r="E28" s="23" t="n">
        <v>146</v>
      </c>
      <c r="F28" s="23" t="n">
        <v>150</v>
      </c>
      <c r="G28" s="23" t="n">
        <v>168</v>
      </c>
      <c r="H28" s="23" t="n">
        <v>150</v>
      </c>
      <c r="I28" s="23" t="n">
        <v>175</v>
      </c>
      <c r="J28" s="23" t="n">
        <v>150</v>
      </c>
      <c r="K28" s="23" t="n">
        <v>173</v>
      </c>
      <c r="L28" s="23" t="n">
        <v>150</v>
      </c>
      <c r="M28" s="23" t="n">
        <v>143</v>
      </c>
      <c r="N28" s="23" t="n">
        <v>150</v>
      </c>
      <c r="O28" s="23" t="n">
        <v>155</v>
      </c>
      <c r="P28" s="23" t="n">
        <v>150</v>
      </c>
      <c r="Q28" s="23" t="n">
        <v>139</v>
      </c>
      <c r="R28" s="23" t="n">
        <v>150</v>
      </c>
      <c r="S28" s="23" t="n">
        <v>128</v>
      </c>
      <c r="T28" s="23" t="n">
        <v>150</v>
      </c>
      <c r="U28" s="23" t="n">
        <v>150</v>
      </c>
      <c r="V28" s="23" t="n">
        <v>150</v>
      </c>
      <c r="W28" s="23" t="n">
        <v>170</v>
      </c>
      <c r="X28" s="23" t="n">
        <v>150</v>
      </c>
      <c r="Y28" s="23" t="n">
        <v>171</v>
      </c>
    </row>
    <row r="29" customFormat="false" ht="15" hidden="false" customHeight="false" outlineLevel="0" collapsed="false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customFormat="false" ht="15" hidden="false" customHeight="false" outlineLevel="0" collapsed="false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customFormat="false" ht="15" hidden="false" customHeight="false" outlineLevel="0" collapsed="false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customFormat="false" ht="15" hidden="false" customHeight="false" outlineLevel="0" collapsed="false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customFormat="false" ht="15" hidden="false" customHeight="false" outlineLevel="0" collapsed="false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customFormat="false" ht="15" hidden="false" customHeight="false" outlineLevel="0" collapsed="false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customFormat="false" ht="15" hidden="false" customHeight="false" outlineLevel="0" collapsed="false">
      <c r="A35" s="18" t="s">
        <v>95</v>
      </c>
      <c r="B35" s="19" t="n">
        <f aca="false">SUM(B13:B34)</f>
        <v>5900</v>
      </c>
      <c r="C35" s="19" t="n">
        <f aca="false">SUM(C13:C34)</f>
        <v>6056</v>
      </c>
      <c r="D35" s="19" t="n">
        <f aca="false">SUM(D13:D34)</f>
        <v>5900</v>
      </c>
      <c r="E35" s="19" t="n">
        <f aca="false">SUM(E13:E34)</f>
        <v>6219</v>
      </c>
      <c r="F35" s="19" t="n">
        <f aca="false">SUM(F13:F34)</f>
        <v>5900</v>
      </c>
      <c r="G35" s="19" t="n">
        <f aca="false">SUM(G13:G34)</f>
        <v>6127</v>
      </c>
      <c r="H35" s="19" t="n">
        <f aca="false">SUM(H13:H34)</f>
        <v>5900</v>
      </c>
      <c r="I35" s="19" t="n">
        <f aca="false">SUM(I13:I34)</f>
        <v>6245</v>
      </c>
      <c r="J35" s="19" t="n">
        <f aca="false">SUM(J13:J34)</f>
        <v>5900</v>
      </c>
      <c r="K35" s="19" t="n">
        <f aca="false">SUM(K13:K34)</f>
        <v>5588</v>
      </c>
      <c r="L35" s="19" t="n">
        <f aca="false">SUM(L13:L34)</f>
        <v>5900</v>
      </c>
      <c r="M35" s="19" t="n">
        <f aca="false">SUM(M13:M34)</f>
        <v>5595</v>
      </c>
      <c r="N35" s="19" t="n">
        <f aca="false">SUM(N13:N34)</f>
        <v>5900</v>
      </c>
      <c r="O35" s="19" t="n">
        <f aca="false">SUM(O13:O34)</f>
        <v>5761</v>
      </c>
      <c r="P35" s="19" t="n">
        <f aca="false">SUM(P13:P34)</f>
        <v>5900</v>
      </c>
      <c r="Q35" s="19" t="n">
        <f aca="false">SUM(Q13:Q34)</f>
        <v>5497</v>
      </c>
      <c r="R35" s="19" t="n">
        <f aca="false">SUM(R13:R34)</f>
        <v>5900</v>
      </c>
      <c r="S35" s="19" t="n">
        <f aca="false">SUM(S13:S34)</f>
        <v>6154</v>
      </c>
      <c r="T35" s="19" t="n">
        <f aca="false">SUM(T13:T34)</f>
        <v>5900</v>
      </c>
      <c r="U35" s="19" t="n">
        <f aca="false">SUM(U13:U34)</f>
        <v>5828</v>
      </c>
      <c r="V35" s="19" t="n">
        <f aca="false">SUM(V13:V34)</f>
        <v>5900</v>
      </c>
      <c r="W35" s="19" t="n">
        <f aca="false">SUM(W13:W34)</f>
        <v>6028</v>
      </c>
      <c r="X35" s="19" t="n">
        <f aca="false">SUM(X13:X34)</f>
        <v>5900</v>
      </c>
      <c r="Y35" s="19" t="n">
        <f aca="false">SUM(Y13:Y34)</f>
        <v>5837</v>
      </c>
    </row>
    <row r="36" customFormat="false" ht="15" hidden="false" customHeight="false" outlineLevel="0" collapsed="false">
      <c r="A36" s="18" t="s">
        <v>96</v>
      </c>
      <c r="B36" s="19" t="n">
        <f aca="false">B10-B35</f>
        <v>950</v>
      </c>
      <c r="C36" s="19" t="n">
        <f aca="false">C10-C35</f>
        <v>658</v>
      </c>
      <c r="D36" s="19" t="n">
        <f aca="false">D10-D35</f>
        <v>950</v>
      </c>
      <c r="E36" s="19" t="n">
        <f aca="false">E10-E35</f>
        <v>726</v>
      </c>
      <c r="F36" s="19" t="n">
        <f aca="false">F10-F35</f>
        <v>950</v>
      </c>
      <c r="G36" s="19" t="n">
        <f aca="false">G10-G35</f>
        <v>922</v>
      </c>
      <c r="H36" s="19" t="n">
        <f aca="false">H10-H35</f>
        <v>950</v>
      </c>
      <c r="I36" s="19" t="n">
        <f aca="false">I10-I35</f>
        <v>472</v>
      </c>
      <c r="J36" s="19" t="n">
        <f aca="false">J10-J35</f>
        <v>950</v>
      </c>
      <c r="K36" s="19" t="n">
        <f aca="false">K10-K35</f>
        <v>1388</v>
      </c>
      <c r="L36" s="19" t="n">
        <f aca="false">L10-L35</f>
        <v>950</v>
      </c>
      <c r="M36" s="19" t="n">
        <f aca="false">M10-M35</f>
        <v>1422</v>
      </c>
      <c r="N36" s="19" t="n">
        <f aca="false">N10-N35</f>
        <v>950</v>
      </c>
      <c r="O36" s="19" t="n">
        <f aca="false">O10-O35</f>
        <v>1007</v>
      </c>
      <c r="P36" s="19" t="n">
        <f aca="false">P10-P35</f>
        <v>950</v>
      </c>
      <c r="Q36" s="19" t="n">
        <f aca="false">Q10-Q35</f>
        <v>1393</v>
      </c>
      <c r="R36" s="19" t="n">
        <f aca="false">R10-R35</f>
        <v>950</v>
      </c>
      <c r="S36" s="19" t="n">
        <f aca="false">S10-S35</f>
        <v>658</v>
      </c>
      <c r="T36" s="19" t="n">
        <f aca="false">T10-T35</f>
        <v>950</v>
      </c>
      <c r="U36" s="19" t="n">
        <f aca="false">U10-U35</f>
        <v>1016</v>
      </c>
      <c r="V36" s="19" t="n">
        <f aca="false">V10-V35</f>
        <v>950</v>
      </c>
      <c r="W36" s="19" t="n">
        <f aca="false">W10-W35</f>
        <v>670</v>
      </c>
      <c r="X36" s="19" t="n">
        <f aca="false">X10-X35</f>
        <v>950</v>
      </c>
      <c r="Y36" s="19" t="n">
        <f aca="false">Y10-Y35</f>
        <v>813</v>
      </c>
    </row>
    <row r="37" customFormat="false" ht="15" hidden="false" customHeight="false" outlineLevel="0" collapsed="false">
      <c r="A37" s="21" t="s">
        <v>97</v>
      </c>
      <c r="B37" s="17" t="n">
        <f aca="false">IF(B10=0,0,B27/B10)</f>
        <v>0.116788321167883</v>
      </c>
      <c r="C37" s="17" t="n">
        <f aca="false">IF(C10=0,0,C27/C10)</f>
        <v>0.107536490914507</v>
      </c>
      <c r="D37" s="17" t="n">
        <f aca="false">IF(D10=0,0,D27/D10)</f>
        <v>0.116788321167883</v>
      </c>
      <c r="E37" s="17" t="n">
        <f aca="false">IF(E10=0,0,E27/E10)</f>
        <v>0.0927285817134629</v>
      </c>
      <c r="F37" s="17" t="n">
        <f aca="false">IF(F10=0,0,F27/F10)</f>
        <v>0.116788321167883</v>
      </c>
      <c r="G37" s="17" t="n">
        <f aca="false">IF(G10=0,0,G27/G10)</f>
        <v>0.10441197332955</v>
      </c>
      <c r="H37" s="17" t="n">
        <f aca="false">IF(H10=0,0,H27/H10)</f>
        <v>0.116788321167883</v>
      </c>
      <c r="I37" s="17" t="n">
        <f aca="false">IF(I10=0,0,I27/I10)</f>
        <v>0.127586720262022</v>
      </c>
      <c r="J37" s="17" t="n">
        <f aca="false">IF(J10=0,0,J27/J10)</f>
        <v>0.116788321167883</v>
      </c>
      <c r="K37" s="17" t="n">
        <f aca="false">IF(K10=0,0,K27/K10)</f>
        <v>0.101060779816514</v>
      </c>
      <c r="L37" s="17" t="n">
        <f aca="false">IF(L10=0,0,L27/L10)</f>
        <v>0.116788321167883</v>
      </c>
      <c r="M37" s="17" t="n">
        <f aca="false">IF(M10=0,0,M27/M10)</f>
        <v>0.0989026649565341</v>
      </c>
      <c r="N37" s="17" t="n">
        <f aca="false">IF(N10=0,0,N27/N10)</f>
        <v>0.116788321167883</v>
      </c>
      <c r="O37" s="17" t="n">
        <f aca="false">IF(O10=0,0,O27/O10)</f>
        <v>0.137411347517731</v>
      </c>
      <c r="P37" s="17" t="n">
        <f aca="false">IF(P10=0,0,P27/P10)</f>
        <v>0.116788321167883</v>
      </c>
      <c r="Q37" s="17" t="n">
        <f aca="false">IF(Q10=0,0,Q27/Q10)</f>
        <v>0.123512336719884</v>
      </c>
      <c r="R37" s="17" t="n">
        <f aca="false">IF(R10=0,0,R27/R10)</f>
        <v>0.116788321167883</v>
      </c>
      <c r="S37" s="17" t="n">
        <f aca="false">IF(S10=0,0,S27/S10)</f>
        <v>0.114650616559014</v>
      </c>
      <c r="T37" s="17" t="n">
        <f aca="false">IF(T10=0,0,T27/T10)</f>
        <v>0.116788321167883</v>
      </c>
      <c r="U37" s="17" t="n">
        <f aca="false">IF(U10=0,0,U27/U10)</f>
        <v>0.135154880187025</v>
      </c>
      <c r="V37" s="17" t="n">
        <f aca="false">IF(V10=0,0,V27/V10)</f>
        <v>0.116788321167883</v>
      </c>
      <c r="W37" s="17" t="n">
        <f aca="false">IF(W10=0,0,W27/W10)</f>
        <v>0.111227232009555</v>
      </c>
      <c r="X37" s="17" t="n">
        <f aca="false">IF(X10=0,0,X27/X10)</f>
        <v>0.116788321167883</v>
      </c>
      <c r="Y37" s="17" t="n">
        <f aca="false">IF(Y10=0,0,Y27/Y10)</f>
        <v>0.128270676691729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2026-09-18T06:47:52Z</dcterms:created>
  <dc:creator>openpyxl</dc:creator>
  <dc:description/>
  <dc:language>en-US</dc:language>
  <cp:lastModifiedBy/>
  <dcterms:modified xsi:type="dcterms:W3CDTF">2026-09-18T06:47:53Z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