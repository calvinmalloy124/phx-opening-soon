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Debts" sheetId="3" state="visible" r:id="rId5"/>
    <sheet name="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<sst xmlns="http://schemas.openxmlformats.org/spreadsheetml/2006/main" count="58" uniqueCount="57">
  <si>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Debt Payoff Planner — Snowball &amp; Avalanche</t>
  </si>
  <si>
    <t xml:space="preserve">Simple Sheets Co. — Excel + Google Sheets</t>
  </si>
  <si>
    <t xml:space="preserve">Setup</t>
  </si>
  <si>
    <t xml:space="preserve">1. List every debt with balance, APR and minimum payment. Enter how much extra you can pay each month.</t>
  </si>
  <si>
    <t xml:space="preserve">2. Choose Snowball (smallest balance first) or Avalanche (highest rate first). The plan shows payoff order, months to debt-free, and total interest paid.</t>
  </si>
  <si>
    <t xml:space="preserve">3. The Schedule tab simulates month by month (up to 120 months).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</si>
  <si>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</si>
  <si>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</si>
  <si>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</si>
  <si>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</si>
  <si>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</si>
  <si>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• Simulation applies extra payment to the target debt, then rolls each paid-off minimum into the next one.</t>
  </si>
  <si>
    <t xml:space="preserve">For planning and educational use only. Not financial, legal, or tax advice. Every number is an estimate you should verify for your own business.</t>
  </si>
  <si>
    <t xml:space="preserve">Debt-Free Dashboard</t>
  </si>
  <si>
    <t xml:space="preserve">Your payoff plan, month by month.</t>
  </si>
  <si>
    <t xml:space="preserve">TOTAL DEBT TODAY</t>
  </si>
  <si>
    <t xml:space="preserve">PAYING PER MONTH</t>
  </si>
  <si>
    <t xml:space="preserve">MONTHS TO DEBT-FREE</t>
  </si>
  <si>
    <t xml:space="preserve">TOTAL INTEREST YOU'LL PAY</t>
  </si>
  <si>
    <t xml:space="preserve">DEBT-FREE DATE</t>
  </si>
  <si>
    <t xml:space="preserve">EXTRA PAYMENT / MONTH</t>
  </si>
  <si>
    <t xml:space="preserve">AVERAGE APR</t>
  </si>
  <si>
    <t xml:space="preserve">Debts</t>
  </si>
  <si>
    <t xml:space="preserve">How to use: type your numbers in the yellow cells (blue text). Everything else calculates.</t>
  </si>
  <si>
    <t xml:space="preserve">Extra payment per month (beyond minimums)</t>
  </si>
  <si>
    <t xml:space="preserve">Method (Snowball or Avalanche)</t>
  </si>
  <si>
    <t xml:space="preserve">Avalanche</t>
  </si>
  <si>
    <t xml:space="preserve">Debt</t>
  </si>
  <si>
    <t xml:space="preserve">Balance</t>
  </si>
  <si>
    <t xml:space="preserve">APR</t>
  </si>
  <si>
    <t xml:space="preserve">Minimum payment</t>
  </si>
  <si>
    <t xml:space="preserve">Payoff order</t>
  </si>
  <si>
    <t xml:space="preserve">Months to payoff (alone)</t>
  </si>
  <si>
    <t xml:space="preserve">Credit card A</t>
  </si>
  <si>
    <t xml:space="preserve">Credit card B</t>
  </si>
  <si>
    <t xml:space="preserve">Car loan</t>
  </si>
  <si>
    <t xml:space="preserve">Student loan</t>
  </si>
  <si>
    <t xml:space="preserve">Medical bill</t>
  </si>
  <si>
    <t xml:space="preserve">TOTAL</t>
  </si>
  <si>
    <t xml:space="preserve">Total monthly toward debt</t>
  </si>
  <si>
    <t xml:space="preserve">Debt-free in (months)</t>
  </si>
  <si>
    <t xml:space="preserve">Total interest paid</t>
  </si>
  <si>
    <t xml:space="preserve">Payoff Schedule</t>
  </si>
  <si>
    <t xml:space="preserve">Simulated month by month. Balances after payment.</t>
  </si>
  <si>
    <t xml:space="preserve">Months to debt-free</t>
  </si>
  <si>
    <t xml:space="preserve">Month</t>
  </si>
  <si>
    <t xml:space="preserve">Available</t>
  </si>
  <si>
    <t xml:space="preserve">D1 bal</t>
  </si>
  <si>
    <t xml:space="preserve">D2 bal</t>
  </si>
  <si>
    <t xml:space="preserve">D3 bal</t>
  </si>
  <si>
    <t xml:space="preserve">D4 bal</t>
  </si>
  <si>
    <t xml:space="preserve">D5 bal</t>
  </si>
  <si>
    <t xml:space="preserve">D6 bal</t>
  </si>
  <si>
    <t xml:space="preserve">D7 bal</t>
  </si>
  <si>
    <t xml:space="preserve">D8 bal</t>
  </si>
  <si>
    <t xml:space="preserve">Interest this month</t>
  </si>
  <si>
    <t xml:space="preserve">Total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</si>
</sst>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@"/>
    <numFmt numFmtId="168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FFE9A8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  <fill>
      <patternFill patternType="solid">
        <fgColor rgb="FFE7E6E6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9A8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Schedule!L6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rgbClr val="2e6f73"/>
            </a:solidFill>
            <a:ln w="28080">
              <a:solidFill>
                <a:srgbClr val="2e6f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Schedule!$A$8:$A$67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Schedule!$L$7:$L$67</c:f>
              <c:numCache>
                <c:formatCode>\$#,##0;"($"#,##0\);\-</c:formatCode>
                <c:ptCount val="61"/>
                <c:pt idx="0">
                  <c:v>39800</c:v>
                </c:pt>
                <c:pt idx="1">
                  <c:v>38925.0916666667</c:v>
                </c:pt>
                <c:pt idx="2">
                  <c:v>38038.8009368056</c:v>
                </c:pt>
                <c:pt idx="3">
                  <c:v>37140.9232122159</c:v>
                </c:pt>
                <c:pt idx="4">
                  <c:v>36231.2498378768</c:v>
                </c:pt>
                <c:pt idx="5">
                  <c:v>35309.5680191274</c:v>
                </c:pt>
                <c:pt idx="6">
                  <c:v>34375.6607371428</c:v>
                </c:pt>
                <c:pt idx="7">
                  <c:v>33429.3066626693</c:v>
                </c:pt>
                <c:pt idx="8">
                  <c:v>32470.2800679835</c:v>
                </c:pt>
                <c:pt idx="9">
                  <c:v>31498.3507370388</c:v>
                </c:pt>
                <c:pt idx="10">
                  <c:v>30513.2838737619</c:v>
                </c:pt>
                <c:pt idx="11">
                  <c:v>29514.8400084605</c:v>
                </c:pt>
                <c:pt idx="12">
                  <c:v>28502.7749023037</c:v>
                </c:pt>
                <c:pt idx="13">
                  <c:v>27564.7661282657</c:v>
                </c:pt>
                <c:pt idx="14">
                  <c:v>26526.5307364892</c:v>
                </c:pt>
                <c:pt idx="15">
                  <c:v>25475.3371455189</c:v>
                </c:pt>
                <c:pt idx="16">
                  <c:v>24410.9759428707</c:v>
                </c:pt>
                <c:pt idx="17">
                  <c:v>23830.1275450267</c:v>
                </c:pt>
                <c:pt idx="18">
                  <c:v>22747.8564185075</c:v>
                </c:pt>
                <c:pt idx="19">
                  <c:v>21659.8076182363</c:v>
                </c:pt>
                <c:pt idx="20">
                  <c:v>20565.6611462296</c:v>
                </c:pt>
                <c:pt idx="21">
                  <c:v>19465.3826678322</c:v>
                </c:pt>
                <c:pt idx="22">
                  <c:v>18358.9376542966</c:v>
                </c:pt>
                <c:pt idx="23">
                  <c:v>17246.291381682</c:v>
                </c:pt>
                <c:pt idx="24">
                  <c:v>16127.4089297477</c:v>
                </c:pt>
                <c:pt idx="25">
                  <c:v>15191.4251655671</c:v>
                </c:pt>
                <c:pt idx="26">
                  <c:v>14061.0525309093</c:v>
                </c:pt>
                <c:pt idx="27">
                  <c:v>12925.499021676</c:v>
                </c:pt>
                <c:pt idx="28">
                  <c:v>11784.740892192</c:v>
                </c:pt>
                <c:pt idx="29">
                  <c:v>10638.7542879479</c:v>
                </c:pt>
                <c:pt idx="30">
                  <c:v>9487.51524510095</c:v>
                </c:pt>
                <c:pt idx="31">
                  <c:v>8330.99968997433</c:v>
                </c:pt>
                <c:pt idx="32">
                  <c:v>7169.18343855338</c:v>
                </c:pt>
                <c:pt idx="33">
                  <c:v>6002.04219598008</c:v>
                </c:pt>
                <c:pt idx="34">
                  <c:v>4829.55155604499</c:v>
                </c:pt>
                <c:pt idx="35">
                  <c:v>3651.68700067686</c:v>
                </c:pt>
                <c:pt idx="36">
                  <c:v>2468.42389942996</c:v>
                </c:pt>
                <c:pt idx="37">
                  <c:v>1279.73750896902</c:v>
                </c:pt>
                <c:pt idx="38">
                  <c:v>85.6029725517929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670230"/>
        <c:axId val="29678596"/>
      </c:lineChart>
      <c:catAx>
        <c:axId val="85670230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78596"/>
        <c:crosses val="autoZero"/>
        <c:auto val="1"/>
        <c:lblAlgn val="ctr"/>
        <c:lblOffset val="100"/>
        <c:noMultiLvlLbl val="0"/>
      </c:catAx>
      <c:valAx>
        <c:axId val="29678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702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by debt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Debts!B7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Debts!$A$8:$A$12</c:f>
              <c:strCache>
                <c:ptCount val="5"/>
                <c:pt idx="0">
                  <c:v>Credit card A</c:v>
                </c:pt>
                <c:pt idx="1">
                  <c:v>Credit card B</c:v>
                </c:pt>
                <c:pt idx="2">
                  <c:v>Car loan</c:v>
                </c:pt>
                <c:pt idx="3">
                  <c:v>Student loan</c:v>
                </c:pt>
                <c:pt idx="4">
                  <c:v>Medical bill</c:v>
                </c:pt>
              </c:strCache>
            </c:strRef>
          </c:cat>
          <c:val>
            <c:numRef>
              <c:f>Debts!$B$8:$B$12</c:f>
              <c:numCache>
                <c:formatCode>\$#,##0;"($"#,##0\);\-</c:formatCode>
                <c:ptCount val="5"/>
                <c:pt idx="0">
                  <c:v>6200</c:v>
                </c:pt>
                <c:pt idx="1">
                  <c:v>2400</c:v>
                </c:pt>
                <c:pt idx="2">
                  <c:v>11800</c:v>
                </c:pt>
                <c:pt idx="3">
                  <c:v>18500</c:v>
                </c:pt>
                <c:pt idx="4">
                  <c:v>900</c:v>
                </c:pt>
              </c:numCache>
            </c:numRef>
          </c:val>
        </c:ser>
        <c:gapWidth val="150"/>
        <c:overlap val="0"/>
        <c:axId val="89579787"/>
        <c:axId val="59210954"/>
      </c:barChart>
      <c:catAx>
        <c:axId val="89579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10954"/>
        <c:crosses val="autoZero"/>
        <c:auto val="1"/>
        <c:lblAlgn val="ctr"/>
        <c:lblOffset val="100"/>
        <c:noMultiLvlLbl val="0"/>
      </c:catAx>
      <c:valAx>
        <c:axId val="59210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797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6</xdr:col>
      <xdr:colOff>701280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266760" y="2400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70200</xdr:rowOff>
    </xdr:from>
    <xdr:to>
      <xdr:col>6</xdr:col>
      <xdr:colOff>701280</xdr:colOff>
      <xdr:row>45</xdr:row>
      <xdr:rowOff>71640</xdr:rowOff>
    </xdr:to>
    <xdr:graphicFrame>
      <xdr:nvGraphicFramePr>
        <xdr:cNvPr id="1" name="Chart 2"/>
        <xdr:cNvGraphicFramePr/>
      </xdr:nvGraphicFramePr>
      <xdr:xfrm>
        <a:off x="266760" y="5638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13</v>
      </c>
    </row>
    <row r="3" customFormat="false" ht="15" hidden="false" customHeight="false" outlineLevel="0" collapsed="false">
      <c r="B3" s="6" t="s">
        <v>14</v>
      </c>
    </row>
    <row r="5" customFormat="false" ht="15.75" hidden="false" customHeight="true" outlineLevel="0" collapsed="false">
      <c r="B5" s="7" t="s">
        <v>15</v>
      </c>
      <c r="C5" s="7"/>
      <c r="D5" s="7"/>
      <c r="E5" s="7" t="s">
        <v>16</v>
      </c>
      <c r="F5" s="7"/>
      <c r="G5" s="7"/>
      <c r="H5" s="7" t="s">
        <v>17</v>
      </c>
      <c r="I5" s="7"/>
      <c r="J5" s="7"/>
      <c r="K5" s="7" t="s">
        <v>18</v>
      </c>
      <c r="L5" s="7"/>
      <c r="M5" s="7"/>
    </row>
    <row r="6" customFormat="false" ht="21.75" hidden="false" customHeight="true" outlineLevel="0" collapsed="false">
      <c r="B6" s="8" t="n">
        <f aca="false">Debts!B16</f>
        <v>39800</v>
      </c>
      <c r="C6" s="8"/>
      <c r="D6" s="8"/>
      <c r="E6" s="8" t="n">
        <f aca="false">Debts!B17</f>
        <v>1200</v>
      </c>
      <c r="F6" s="8"/>
      <c r="G6" s="8"/>
      <c r="H6" s="9" t="n">
        <f aca="false">Debts!B18</f>
        <v>39</v>
      </c>
      <c r="I6" s="9"/>
      <c r="J6" s="9"/>
      <c r="K6" s="8" t="n">
        <f aca="false">Debts!B19</f>
        <v>5112.00515157636</v>
      </c>
      <c r="L6" s="8"/>
      <c r="M6" s="8"/>
    </row>
    <row r="7" customFormat="false" ht="12" hidden="false" customHeight="true" outlineLevel="0" collapsed="false">
      <c r="B7" s="8"/>
      <c r="C7" s="8"/>
      <c r="D7" s="8"/>
      <c r="E7" s="8"/>
      <c r="F7" s="8"/>
      <c r="G7" s="8"/>
      <c r="H7" s="9"/>
      <c r="I7" s="9"/>
      <c r="J7" s="9"/>
      <c r="K7" s="8"/>
      <c r="L7" s="8"/>
      <c r="M7" s="8"/>
    </row>
    <row r="9" customFormat="false" ht="15.75" hidden="false" customHeight="true" outlineLevel="0" collapsed="false">
      <c r="B9" s="7" t="s">
        <v>19</v>
      </c>
      <c r="C9" s="7"/>
      <c r="D9" s="7"/>
      <c r="E9" s="7" t="s">
        <v>20</v>
      </c>
      <c r="F9" s="7"/>
      <c r="G9" s="7"/>
      <c r="H9" s="7" t="s">
        <v>21</v>
      </c>
      <c r="I9" s="7"/>
      <c r="J9" s="7"/>
    </row>
    <row r="10" customFormat="false" ht="21.75" hidden="false" customHeight="true" outlineLevel="0" collapsed="false">
      <c r="B10" s="10" t="str">
        <f aca="true">IF(ISNUMBER(Debts!B18),TEXT(EDATE(TODAY(),Debts!B18),"mmm yyyy"),"—")</f>
        <v>Dec 2029</v>
      </c>
      <c r="C10" s="10"/>
      <c r="D10" s="10"/>
      <c r="E10" s="8" t="n">
        <f aca="false">Debts!B4</f>
        <v>400</v>
      </c>
      <c r="F10" s="8"/>
      <c r="G10" s="8"/>
      <c r="H10" s="11" t="n">
        <f aca="false">IF(Debts!B16=0,0,SUMPRODUCT(Debts!B8:B15,Debts!C8:C15)/Debts!B16)</f>
        <v>0.0980175879396985</v>
      </c>
      <c r="I10" s="11"/>
      <c r="J10" s="11"/>
    </row>
    <row r="11" customFormat="false" ht="12" hidden="false" customHeight="true" outlineLevel="0" collapsed="false">
      <c r="B11" s="10"/>
      <c r="C11" s="10"/>
      <c r="D11" s="10"/>
      <c r="E11" s="8"/>
      <c r="F11" s="8"/>
      <c r="G11" s="8"/>
      <c r="H11" s="11"/>
      <c r="I11" s="11"/>
      <c r="J11" s="11"/>
    </row>
  </sheetData>
  <mergeCells count="14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B10:D11"/>
    <mergeCell ref="E10:G11"/>
    <mergeCell ref="H10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12" t="s">
        <v>24</v>
      </c>
      <c r="B4" s="13" t="n">
        <v>400</v>
      </c>
    </row>
    <row r="5" customFormat="false" ht="15" hidden="false" customHeight="false" outlineLevel="0" collapsed="false">
      <c r="A5" s="12" t="s">
        <v>25</v>
      </c>
      <c r="B5" s="14" t="s">
        <v>26</v>
      </c>
    </row>
    <row r="7" customFormat="false" ht="30" hidden="false" customHeight="true" outlineLevel="0" collapsed="false">
      <c r="A7" s="15" t="s">
        <v>27</v>
      </c>
      <c r="B7" s="15" t="s">
        <v>28</v>
      </c>
      <c r="C7" s="15" t="s">
        <v>29</v>
      </c>
      <c r="D7" s="15" t="s">
        <v>30</v>
      </c>
      <c r="E7" s="15" t="s">
        <v>31</v>
      </c>
      <c r="F7" s="15" t="s">
        <v>32</v>
      </c>
    </row>
    <row r="8" customFormat="false" ht="15" hidden="false" customHeight="false" outlineLevel="0" collapsed="false">
      <c r="A8" s="16" t="s">
        <v>33</v>
      </c>
      <c r="B8" s="17" t="n">
        <v>6200</v>
      </c>
      <c r="C8" s="18" t="n">
        <v>0.249</v>
      </c>
      <c r="D8" s="17" t="n">
        <v>155</v>
      </c>
      <c r="E8" s="19" t="n">
        <f aca="false">IF(A8="","",IF($B$5="Snowball",RANK(B8,$B$8:$B$15,1),RANK(C8,$C$8:$C$15,0)))</f>
        <v>1</v>
      </c>
      <c r="F8" s="19" t="n">
        <f aca="false">IF(OR(A8="",D8=0),"",IF(C8=0,ROUNDUP(B8/D8,0),IF(D8&lt;=B8*C8/12,"min too low",ROUNDUP(-LOG(1-B8*C8/12/D8)/LOG(1+C8/12),0))))</f>
        <v>87</v>
      </c>
    </row>
    <row r="9" customFormat="false" ht="15" hidden="false" customHeight="false" outlineLevel="0" collapsed="false">
      <c r="A9" s="16" t="s">
        <v>34</v>
      </c>
      <c r="B9" s="17" t="n">
        <v>2400</v>
      </c>
      <c r="C9" s="18" t="n">
        <v>0.219</v>
      </c>
      <c r="D9" s="17" t="n">
        <v>75</v>
      </c>
      <c r="E9" s="19" t="n">
        <f aca="false">IF(A9="","",IF($B$5="Snowball",RANK(B9,$B$8:$B$15,1),RANK(C9,$C$8:$C$15,0)))</f>
        <v>2</v>
      </c>
      <c r="F9" s="19" t="n">
        <f aca="false">IF(OR(A9="",D9=0),"",IF(C9=0,ROUNDUP(B9/D9,0),IF(D9&lt;=B9*C9/12,"min too low",ROUNDUP(-LOG(1-B9*C9/12/D9)/LOG(1+C9/12),0))))</f>
        <v>49</v>
      </c>
    </row>
    <row r="10" customFormat="false" ht="15" hidden="false" customHeight="false" outlineLevel="0" collapsed="false">
      <c r="A10" s="16" t="s">
        <v>35</v>
      </c>
      <c r="B10" s="17" t="n">
        <v>11800</v>
      </c>
      <c r="C10" s="18" t="n">
        <v>0.069</v>
      </c>
      <c r="D10" s="17" t="n">
        <v>310</v>
      </c>
      <c r="E10" s="19" t="n">
        <f aca="false">IF(A10="","",IF($B$5="Snowball",RANK(B10,$B$8:$B$15,1),RANK(C10,$C$8:$C$15,0)))</f>
        <v>3</v>
      </c>
      <c r="F10" s="19" t="n">
        <f aca="false">IF(OR(A10="",D10=0),"",IF(C10=0,ROUNDUP(B10/D10,0),IF(D10&lt;=B10*C10/12,"min too low",ROUNDUP(-LOG(1-B10*C10/12/D10)/LOG(1+C10/12),0))))</f>
        <v>44</v>
      </c>
    </row>
    <row r="11" customFormat="false" ht="15" hidden="false" customHeight="false" outlineLevel="0" collapsed="false">
      <c r="A11" s="16" t="s">
        <v>36</v>
      </c>
      <c r="B11" s="17" t="n">
        <v>18500</v>
      </c>
      <c r="C11" s="18" t="n">
        <v>0.055</v>
      </c>
      <c r="D11" s="17" t="n">
        <v>210</v>
      </c>
      <c r="E11" s="19" t="n">
        <f aca="false">IF(A11="","",IF($B$5="Snowball",RANK(B11,$B$8:$B$15,1),RANK(C11,$C$8:$C$15,0)))</f>
        <v>4</v>
      </c>
      <c r="F11" s="19" t="n">
        <f aca="false">IF(OR(A11="",D11=0),"",IF(C11=0,ROUNDUP(B11/D11,0),IF(D11&lt;=B11*C11/12,"min too low",ROUNDUP(-LOG(1-B11*C11/12/D11)/LOG(1+C11/12),0))))</f>
        <v>114</v>
      </c>
    </row>
    <row r="12" customFormat="false" ht="15" hidden="false" customHeight="false" outlineLevel="0" collapsed="false">
      <c r="A12" s="16" t="s">
        <v>37</v>
      </c>
      <c r="B12" s="17" t="n">
        <v>900</v>
      </c>
      <c r="C12" s="18" t="n">
        <v>0</v>
      </c>
      <c r="D12" s="17" t="n">
        <v>50</v>
      </c>
      <c r="E12" s="19" t="n">
        <f aca="false">IF(A12="","",IF($B$5="Snowball",RANK(B12,$B$8:$B$15,1),RANK(C12,$C$8:$C$15,0)))</f>
        <v>5</v>
      </c>
      <c r="F12" s="19" t="n">
        <f aca="false">IF(OR(A12="",D12=0),"",IF(C12=0,ROUNDUP(B12/D12,0),IF(D12&lt;=B12*C12/12,"min too low",ROUNDUP(-LOG(1-B12*C12/12/D12)/LOG(1+C12/12),0))))</f>
        <v>18</v>
      </c>
    </row>
    <row r="13" customFormat="false" ht="15" hidden="false" customHeight="false" outlineLevel="0" collapsed="false">
      <c r="A13" s="16"/>
      <c r="B13" s="17"/>
      <c r="C13" s="18"/>
      <c r="D13" s="17"/>
      <c r="E13" s="19" t="str">
        <f aca="false">IF(A13="","",IF($B$5="Snowball",RANK(B13,$B$8:$B$15,1),RANK(C13,$C$8:$C$15,0)))</f>
        <v/>
      </c>
      <c r="F13" s="19" t="str">
        <f aca="false">IF(OR(A13="",D13=0),"",IF(C13=0,ROUNDUP(B13/D13,0),IF(D13&lt;=B13*C13/12,"min too low",ROUNDUP(-LOG(1-B13*C13/12/D13)/LOG(1+C13/12),0))))</f>
        <v/>
      </c>
    </row>
    <row r="14" customFormat="false" ht="15" hidden="false" customHeight="false" outlineLevel="0" collapsed="false">
      <c r="A14" s="16"/>
      <c r="B14" s="17"/>
      <c r="C14" s="18"/>
      <c r="D14" s="17"/>
      <c r="E14" s="19" t="str">
        <f aca="false">IF(A14="","",IF($B$5="Snowball",RANK(B14,$B$8:$B$15,1),RANK(C14,$C$8:$C$15,0)))</f>
        <v/>
      </c>
      <c r="F14" s="19" t="str">
        <f aca="false">IF(OR(A14="",D14=0),"",IF(C14=0,ROUNDUP(B14/D14,0),IF(D14&lt;=B14*C14/12,"min too low",ROUNDUP(-LOG(1-B14*C14/12/D14)/LOG(1+C14/12),0))))</f>
        <v/>
      </c>
    </row>
    <row r="15" customFormat="false" ht="15" hidden="false" customHeight="false" outlineLevel="0" collapsed="false">
      <c r="A15" s="16"/>
      <c r="B15" s="17"/>
      <c r="C15" s="18"/>
      <c r="D15" s="17"/>
      <c r="E15" s="19" t="str">
        <f aca="false">IF(A15="","",IF($B$5="Snowball",RANK(B15,$B$8:$B$15,1),RANK(C15,$C$8:$C$15,0)))</f>
        <v/>
      </c>
      <c r="F15" s="19" t="str">
        <f aca="false">IF(OR(A15="",D15=0),"",IF(C15=0,ROUNDUP(B15/D15,0),IF(D15&lt;=B15*C15/12,"min too low",ROUNDUP(-LOG(1-B15*C15/12/D15)/LOG(1+C15/12),0))))</f>
        <v/>
      </c>
    </row>
    <row r="16" customFormat="false" ht="15" hidden="false" customHeight="false" outlineLevel="0" collapsed="false">
      <c r="A16" s="20" t="s">
        <v>38</v>
      </c>
      <c r="B16" s="21" t="n">
        <f aca="false">SUM(B8:B15)</f>
        <v>39800</v>
      </c>
      <c r="D16" s="21" t="n">
        <f aca="false">SUM(D8:D15)</f>
        <v>800</v>
      </c>
    </row>
    <row r="17" customFormat="false" ht="15" hidden="false" customHeight="false" outlineLevel="0" collapsed="false">
      <c r="A17" s="12" t="s">
        <v>39</v>
      </c>
      <c r="B17" s="22" t="n">
        <f aca="false">B16*0+D16+B4</f>
        <v>1200</v>
      </c>
    </row>
    <row r="18" customFormat="false" ht="15" hidden="false" customHeight="false" outlineLevel="0" collapsed="false">
      <c r="A18" s="20" t="s">
        <v>40</v>
      </c>
      <c r="B18" s="23" t="n">
        <f aca="false">Schedule!$B$3</f>
        <v>39</v>
      </c>
    </row>
    <row r="19" customFormat="false" ht="15" hidden="false" customHeight="false" outlineLevel="0" collapsed="false">
      <c r="A19" s="20" t="s">
        <v>41</v>
      </c>
      <c r="B19" s="24" t="n">
        <f aca="false">Schedule!$B$4</f>
        <v>5112.00515157636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1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12" t="s">
        <v>44</v>
      </c>
      <c r="B3" s="25" t="n">
        <f aca="false">IFERROR(MATCH(TRUE(),INDEX(L8:L127&lt;=0.5,0),0),"&gt;120")</f>
        <v>39</v>
      </c>
    </row>
    <row r="4" customFormat="false" ht="15" hidden="false" customHeight="false" outlineLevel="0" collapsed="false">
      <c r="A4" s="12" t="s">
        <v>41</v>
      </c>
      <c r="B4" s="26" t="n">
        <f aca="false">SUM(K8:K127)</f>
        <v>5112.00515157636</v>
      </c>
    </row>
    <row r="6" customFormat="false" ht="30" hidden="false" customHeight="true" outlineLevel="0" collapsed="false">
      <c r="A6" s="15" t="s">
        <v>45</v>
      </c>
      <c r="B6" s="15" t="s">
        <v>46</v>
      </c>
      <c r="C6" s="15" t="s">
        <v>47</v>
      </c>
      <c r="D6" s="15" t="s">
        <v>48</v>
      </c>
      <c r="E6" s="15" t="s">
        <v>49</v>
      </c>
      <c r="F6" s="15" t="s">
        <v>50</v>
      </c>
      <c r="G6" s="15" t="s">
        <v>51</v>
      </c>
      <c r="H6" s="15" t="s">
        <v>52</v>
      </c>
      <c r="I6" s="15" t="s">
        <v>53</v>
      </c>
      <c r="J6" s="15" t="s">
        <v>54</v>
      </c>
      <c r="K6" s="15" t="s">
        <v>55</v>
      </c>
      <c r="L6" s="15" t="s">
        <v>56</v>
      </c>
    </row>
    <row r="7" customFormat="false" ht="15" hidden="false" customHeight="false" outlineLevel="0" collapsed="false">
      <c r="A7" s="19" t="n">
        <f aca="false">0</f>
        <v>0</v>
      </c>
      <c r="C7" s="27" t="n">
        <f aca="false">IF(Debts!$B$8="",0,Debts!$B$8)</f>
        <v>6200</v>
      </c>
      <c r="D7" s="27" t="n">
        <f aca="false">IF(Debts!$B$9="",0,Debts!$B$9)</f>
        <v>2400</v>
      </c>
      <c r="E7" s="27" t="n">
        <f aca="false">IF(Debts!$B$10="",0,Debts!$B$10)</f>
        <v>11800</v>
      </c>
      <c r="F7" s="27" t="n">
        <f aca="false">IF(Debts!$B$11="",0,Debts!$B$11)</f>
        <v>18500</v>
      </c>
      <c r="G7" s="27" t="n">
        <f aca="false">IF(Debts!$B$12="",0,Debts!$B$12)</f>
        <v>900</v>
      </c>
      <c r="H7" s="27" t="n">
        <f aca="false">IF(Debts!$B$13="",0,Debts!$B$13)</f>
        <v>0</v>
      </c>
      <c r="I7" s="27" t="n">
        <f aca="false">IF(Debts!$B$14="",0,Debts!$B$14)</f>
        <v>0</v>
      </c>
      <c r="J7" s="27" t="n">
        <f aca="false">IF(Debts!$B$15="",0,Debts!$B$15)</f>
        <v>0</v>
      </c>
      <c r="K7" s="22" t="n">
        <f aca="false">0</f>
        <v>0</v>
      </c>
      <c r="L7" s="22" t="n">
        <f aca="false">SUM(C7:J7)</f>
        <v>39800</v>
      </c>
    </row>
    <row r="8" customFormat="false" ht="15" hidden="false" customHeight="false" outlineLevel="0" collapsed="false">
      <c r="A8" s="19" t="n">
        <f aca="false">1</f>
        <v>1</v>
      </c>
      <c r="B8" s="27" t="n">
        <f aca="false">IF(L7&lt;=0,0,Debts!$D$16+Debts!$B$4)</f>
        <v>1200</v>
      </c>
      <c r="C8" s="22" t="n">
        <f aca="false">IF(C7&lt;=0,0,MAX(0,C7*(1+Debts!$C$8/12)-MIN(C7*(1+Debts!$C$8/12),Debts!$D$8)-IF(AND(C7&gt;0,Debts!$E$8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5773.65</v>
      </c>
      <c r="D8" s="22" t="n">
        <f aca="false">IF(D7&lt;=0,0,MAX(0,D7*(1+Debts!$C$9/12)-MIN(D7*(1+Debts!$C$9/12),Debts!$D$9)-IF(AND(D7&gt;0,Debts!$E$9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2368.8</v>
      </c>
      <c r="E8" s="22" t="n">
        <f aca="false">IF(E7&lt;=0,0,MAX(0,E7*(1+Debts!$C$10/12)-MIN(E7*(1+Debts!$C$10/12),Debts!$D$10)-IF(AND(E7&gt;0,Debts!$E$10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11557.85</v>
      </c>
      <c r="F8" s="22" t="n">
        <f aca="false">IF(F7&lt;=0,0,MAX(0,F7*(1+Debts!$C$11/12)-MIN(F7*(1+Debts!$C$11/12),Debts!$D$11)-IF(AND(F7&gt;0,Debts!$E$11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18374.7916666667</v>
      </c>
      <c r="G8" s="22" t="n">
        <f aca="false">IF(G7&lt;=0,0,MAX(0,G7*(1+Debts!$C$12/12)-MIN(G7*(1+Debts!$C$12/12),Debts!$D$12)-IF(AND(G7&gt;0,Debts!$E$12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850</v>
      </c>
      <c r="H8" s="22" t="n">
        <f aca="false">IF(H7&lt;=0,0,MAX(0,H7*(1+Debts!$C$13/12)-MIN(H7*(1+Debts!$C$13/12),Debts!$D$13)-IF(AND(H7&gt;0,Debts!$E$13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0</v>
      </c>
      <c r="I8" s="22" t="n">
        <f aca="false">IF(I7&lt;=0,0,MAX(0,I7*(1+Debts!$C$14/12)-MIN(I7*(1+Debts!$C$14/12),Debts!$D$14)-IF(AND(I7&gt;0,Debts!$E$14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0</v>
      </c>
      <c r="J8" s="22" t="n">
        <f aca="false">IF(J7&lt;=0,0,MAX(0,J7*(1+Debts!$C$15/12)-MIN(J7*(1+Debts!$C$15/12),Debts!$D$15)-IF(AND(J7&gt;0,Debts!$E$15=MIN(IF(C7&gt;0,Debts!$E$8,999),IF(D7&gt;0,Debts!$E$9,999),IF(E7&gt;0,Debts!$E$10,999),IF(F7&gt;0,Debts!$E$11,999),IF(G7&gt;0,Debts!$E$12,999),IF(H7&gt;0,Debts!$E$13,999),IF(I7&gt;0,Debts!$E$14,999),IF(J7&gt;0,Debts!$E$15,999))),MAX(0,(B8-(MIN(C7+0,C7*(1+Debts!$C$8/12))*0+MIN(C7*(1+Debts!$C$8/12),Debts!$D$8)+MIN(C7+0,D7*(1+Debts!$C$9/12))*0+MIN(D7*(1+Debts!$C$9/12),Debts!$D$9)+MIN(C7+0,E7*(1+Debts!$C$10/12))*0+MIN(E7*(1+Debts!$C$10/12),Debts!$D$10)+MIN(C7+0,F7*(1+Debts!$C$11/12))*0+MIN(F7*(1+Debts!$C$11/12),Debts!$D$11)+MIN(C7+0,G7*(1+Debts!$C$12/12))*0+MIN(G7*(1+Debts!$C$12/12),Debts!$D$12)+MIN(C7+0,H7*(1+Debts!$C$13/12))*0+MIN(H7*(1+Debts!$C$13/12),Debts!$D$13)+MIN(C7+0,I7*(1+Debts!$C$14/12))*0+MIN(I7*(1+Debts!$C$14/12),Debts!$D$14)+MIN(C7+0,J7*(1+Debts!$C$15/12))*0+MIN(J7*(1+Debts!$C$15/12),Debts!$D$15)))),0)))</f>
        <v>0</v>
      </c>
      <c r="K8" s="22" t="n">
        <f aca="false">IF(C7&gt;0,C7*Debts!$C$8/12,0)+IF(D7&gt;0,D7*Debts!$C$9/12,0)+IF(E7&gt;0,E7*Debts!$C$10/12,0)+IF(F7&gt;0,F7*Debts!$C$11/12,0)+IF(G7&gt;0,G7*Debts!$C$12/12,0)+IF(H7&gt;0,H7*Debts!$C$13/12,0)+IF(I7&gt;0,I7*Debts!$C$14/12,0)+IF(J7&gt;0,J7*Debts!$C$15/12,0)</f>
        <v>325.091666666667</v>
      </c>
      <c r="L8" s="22" t="n">
        <f aca="false">SUM(C8:J8)</f>
        <v>38925.0916666667</v>
      </c>
    </row>
    <row r="9" customFormat="false" ht="15" hidden="false" customHeight="false" outlineLevel="0" collapsed="false">
      <c r="A9" s="19" t="n">
        <f aca="false">2</f>
        <v>2</v>
      </c>
      <c r="B9" s="27" t="n">
        <f aca="false">IF(L8&lt;=0,0,Debts!$D$16+Debts!$B$4)</f>
        <v>1200</v>
      </c>
      <c r="C9" s="22" t="n">
        <f aca="false">IF(C8&lt;=0,0,MAX(0,C8*(1+Debts!$C$8/12)-MIN(C8*(1+Debts!$C$8/12),Debts!$D$8)-IF(AND(C8&gt;0,Debts!$E$8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5338.4532375</v>
      </c>
      <c r="D9" s="22" t="n">
        <f aca="false">IF(D8&lt;=0,0,MAX(0,D8*(1+Debts!$C$9/12)-MIN(D8*(1+Debts!$C$9/12),Debts!$D$9)-IF(AND(D8&gt;0,Debts!$E$9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2337.0306</v>
      </c>
      <c r="E9" s="22" t="n">
        <f aca="false">IF(E8&lt;=0,0,MAX(0,E8*(1+Debts!$C$10/12)-MIN(E8*(1+Debts!$C$10/12),Debts!$D$10)-IF(AND(E8&gt;0,Debts!$E$10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11314.3076375</v>
      </c>
      <c r="F9" s="22" t="n">
        <f aca="false">IF(F8&lt;=0,0,MAX(0,F8*(1+Debts!$C$11/12)-MIN(F8*(1+Debts!$C$11/12),Debts!$D$11)-IF(AND(F8&gt;0,Debts!$E$11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18249.0094618056</v>
      </c>
      <c r="G9" s="22" t="n">
        <f aca="false">IF(G8&lt;=0,0,MAX(0,G8*(1+Debts!$C$12/12)-MIN(G8*(1+Debts!$C$12/12),Debts!$D$12)-IF(AND(G8&gt;0,Debts!$E$12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800</v>
      </c>
      <c r="H9" s="22" t="n">
        <f aca="false">IF(H8&lt;=0,0,MAX(0,H8*(1+Debts!$C$13/12)-MIN(H8*(1+Debts!$C$13/12),Debts!$D$13)-IF(AND(H8&gt;0,Debts!$E$13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0</v>
      </c>
      <c r="I9" s="22" t="n">
        <f aca="false">IF(I8&lt;=0,0,MAX(0,I8*(1+Debts!$C$14/12)-MIN(I8*(1+Debts!$C$14/12),Debts!$D$14)-IF(AND(I8&gt;0,Debts!$E$14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0</v>
      </c>
      <c r="J9" s="22" t="n">
        <f aca="false">IF(J8&lt;=0,0,MAX(0,J8*(1+Debts!$C$15/12)-MIN(J8*(1+Debts!$C$15/12),Debts!$D$15)-IF(AND(J8&gt;0,Debts!$E$15=MIN(IF(C8&gt;0,Debts!$E$8,999),IF(D8&gt;0,Debts!$E$9,999),IF(E8&gt;0,Debts!$E$10,999),IF(F8&gt;0,Debts!$E$11,999),IF(G8&gt;0,Debts!$E$12,999),IF(H8&gt;0,Debts!$E$13,999),IF(I8&gt;0,Debts!$E$14,999),IF(J8&gt;0,Debts!$E$15,999))),MAX(0,(B9-(MIN(C8+0,C8*(1+Debts!$C$8/12))*0+MIN(C8*(1+Debts!$C$8/12),Debts!$D$8)+MIN(C8+0,D8*(1+Debts!$C$9/12))*0+MIN(D8*(1+Debts!$C$9/12),Debts!$D$9)+MIN(C8+0,E8*(1+Debts!$C$10/12))*0+MIN(E8*(1+Debts!$C$10/12),Debts!$D$10)+MIN(C8+0,F8*(1+Debts!$C$11/12))*0+MIN(F8*(1+Debts!$C$11/12),Debts!$D$11)+MIN(C8+0,G8*(1+Debts!$C$12/12))*0+MIN(G8*(1+Debts!$C$12/12),Debts!$D$12)+MIN(C8+0,H8*(1+Debts!$C$13/12))*0+MIN(H8*(1+Debts!$C$13/12),Debts!$D$13)+MIN(C8+0,I8*(1+Debts!$C$14/12))*0+MIN(I8*(1+Debts!$C$14/12),Debts!$D$14)+MIN(C8+0,J8*(1+Debts!$C$15/12))*0+MIN(J8*(1+Debts!$C$15/12),Debts!$D$15)))),0)))</f>
        <v>0</v>
      </c>
      <c r="K9" s="22" t="n">
        <f aca="false">IF(C8&gt;0,C8*Debts!$C$8/12,0)+IF(D8&gt;0,D8*Debts!$C$9/12,0)+IF(E8&gt;0,E8*Debts!$C$10/12,0)+IF(F8&gt;0,F8*Debts!$C$11/12,0)+IF(G8&gt;0,G8*Debts!$C$12/12,0)+IF(H8&gt;0,H8*Debts!$C$13/12,0)+IF(I8&gt;0,I8*Debts!$C$14/12,0)+IF(J8&gt;0,J8*Debts!$C$15/12,0)</f>
        <v>313.709270138889</v>
      </c>
      <c r="L9" s="22" t="n">
        <f aca="false">SUM(C9:J9)</f>
        <v>38038.8009368056</v>
      </c>
    </row>
    <row r="10" customFormat="false" ht="15" hidden="false" customHeight="false" outlineLevel="0" collapsed="false">
      <c r="A10" s="19" t="n">
        <f aca="false">3</f>
        <v>3</v>
      </c>
      <c r="B10" s="27" t="n">
        <f aca="false">IF(L9&lt;=0,0,Debts!$D$16+Debts!$B$4)</f>
        <v>1200</v>
      </c>
      <c r="C10" s="22" t="n">
        <f aca="false">IF(C9&lt;=0,0,MAX(0,C9*(1+Debts!$C$8/12)-MIN(C9*(1+Debts!$C$8/12),Debts!$D$8)-IF(AND(C9&gt;0,Debts!$E$8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4894.22614217813</v>
      </c>
      <c r="D10" s="22" t="n">
        <f aca="false">IF(D9&lt;=0,0,MAX(0,D9*(1+Debts!$C$9/12)-MIN(D9*(1+Debts!$C$9/12),Debts!$D$9)-IF(AND(D9&gt;0,Debts!$E$9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2304.68140845</v>
      </c>
      <c r="E10" s="22" t="n">
        <f aca="false">IF(E9&lt;=0,0,MAX(0,E9*(1+Debts!$C$10/12)-MIN(E9*(1+Debts!$C$10/12),Debts!$D$10)-IF(AND(E9&gt;0,Debts!$E$10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11069.3649064156</v>
      </c>
      <c r="F10" s="22" t="n">
        <f aca="false">IF(F9&lt;=0,0,MAX(0,F9*(1+Debts!$C$11/12)-MIN(F9*(1+Debts!$C$11/12),Debts!$D$11)-IF(AND(F9&gt;0,Debts!$E$11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18122.6507551722</v>
      </c>
      <c r="G10" s="22" t="n">
        <f aca="false">IF(G9&lt;=0,0,MAX(0,G9*(1+Debts!$C$12/12)-MIN(G9*(1+Debts!$C$12/12),Debts!$D$12)-IF(AND(G9&gt;0,Debts!$E$12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750</v>
      </c>
      <c r="H10" s="22" t="n">
        <f aca="false">IF(H9&lt;=0,0,MAX(0,H9*(1+Debts!$C$13/12)-MIN(H9*(1+Debts!$C$13/12),Debts!$D$13)-IF(AND(H9&gt;0,Debts!$E$13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0</v>
      </c>
      <c r="I10" s="22" t="n">
        <f aca="false">IF(I9&lt;=0,0,MAX(0,I9*(1+Debts!$C$14/12)-MIN(I9*(1+Debts!$C$14/12),Debts!$D$14)-IF(AND(I9&gt;0,Debts!$E$14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0</v>
      </c>
      <c r="J10" s="22" t="n">
        <f aca="false">IF(J9&lt;=0,0,MAX(0,J9*(1+Debts!$C$15/12)-MIN(J9*(1+Debts!$C$15/12),Debts!$D$15)-IF(AND(J9&gt;0,Debts!$E$15=MIN(IF(C9&gt;0,Debts!$E$8,999),IF(D9&gt;0,Debts!$E$9,999),IF(E9&gt;0,Debts!$E$10,999),IF(F9&gt;0,Debts!$E$11,999),IF(G9&gt;0,Debts!$E$12,999),IF(H9&gt;0,Debts!$E$13,999),IF(I9&gt;0,Debts!$E$14,999),IF(J9&gt;0,Debts!$E$15,999))),MAX(0,(B10-(MIN(C9+0,C9*(1+Debts!$C$8/12))*0+MIN(C9*(1+Debts!$C$8/12),Debts!$D$8)+MIN(C9+0,D9*(1+Debts!$C$9/12))*0+MIN(D9*(1+Debts!$C$9/12),Debts!$D$9)+MIN(C9+0,E9*(1+Debts!$C$10/12))*0+MIN(E9*(1+Debts!$C$10/12),Debts!$D$10)+MIN(C9+0,F9*(1+Debts!$C$11/12))*0+MIN(F9*(1+Debts!$C$11/12),Debts!$D$11)+MIN(C9+0,G9*(1+Debts!$C$12/12))*0+MIN(G9*(1+Debts!$C$12/12),Debts!$D$12)+MIN(C9+0,H9*(1+Debts!$C$13/12))*0+MIN(H9*(1+Debts!$C$13/12),Debts!$D$13)+MIN(C9+0,I9*(1+Debts!$C$14/12))*0+MIN(I9*(1+Debts!$C$14/12),Debts!$D$14)+MIN(C9+0,J9*(1+Debts!$C$15/12))*0+MIN(J9*(1+Debts!$C$15/12),Debts!$D$15)))),0)))</f>
        <v>0</v>
      </c>
      <c r="K10" s="22" t="n">
        <f aca="false">IF(C9&gt;0,C9*Debts!$C$8/12,0)+IF(D9&gt;0,D9*Debts!$C$9/12,0)+IF(E9&gt;0,E9*Debts!$C$10/12,0)+IF(F9&gt;0,F9*Debts!$C$11/12,0)+IF(G9&gt;0,G9*Debts!$C$12/12,0)+IF(H9&gt;0,H9*Debts!$C$13/12,0)+IF(I9&gt;0,I9*Debts!$C$14/12,0)+IF(J9&gt;0,J9*Debts!$C$15/12,0)</f>
        <v>302.122275410359</v>
      </c>
      <c r="L10" s="22" t="n">
        <f aca="false">SUM(C10:J10)</f>
        <v>37140.9232122159</v>
      </c>
    </row>
    <row r="11" customFormat="false" ht="15" hidden="false" customHeight="false" outlineLevel="0" collapsed="false">
      <c r="A11" s="19" t="n">
        <f aca="false">4</f>
        <v>4</v>
      </c>
      <c r="B11" s="27" t="n">
        <f aca="false">IF(L10&lt;=0,0,Debts!$D$16+Debts!$B$4)</f>
        <v>1200</v>
      </c>
      <c r="C11" s="22" t="n">
        <f aca="false">IF(C10&lt;=0,0,MAX(0,C10*(1+Debts!$C$8/12)-MIN(C10*(1+Debts!$C$8/12),Debts!$D$8)-IF(AND(C10&gt;0,Debts!$E$8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4440.78133462832</v>
      </c>
      <c r="D11" s="22" t="n">
        <f aca="false">IF(D10&lt;=0,0,MAX(0,D10*(1+Debts!$C$9/12)-MIN(D10*(1+Debts!$C$9/12),Debts!$D$9)-IF(AND(D10&gt;0,Debts!$E$9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2271.74184415421</v>
      </c>
      <c r="E11" s="22" t="n">
        <f aca="false">IF(E10&lt;=0,0,MAX(0,E10*(1+Debts!$C$10/12)-MIN(E10*(1+Debts!$C$10/12),Debts!$D$10)-IF(AND(E10&gt;0,Debts!$E$10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10823.0137546275</v>
      </c>
      <c r="F11" s="22" t="n">
        <f aca="false">IF(F10&lt;=0,0,MAX(0,F10*(1+Debts!$C$11/12)-MIN(F10*(1+Debts!$C$11/12),Debts!$D$11)-IF(AND(F10&gt;0,Debts!$E$11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17995.7129044667</v>
      </c>
      <c r="G11" s="22" t="n">
        <f aca="false">IF(G10&lt;=0,0,MAX(0,G10*(1+Debts!$C$12/12)-MIN(G10*(1+Debts!$C$12/12),Debts!$D$12)-IF(AND(G10&gt;0,Debts!$E$12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700</v>
      </c>
      <c r="H11" s="22" t="n">
        <f aca="false">IF(H10&lt;=0,0,MAX(0,H10*(1+Debts!$C$13/12)-MIN(H10*(1+Debts!$C$13/12),Debts!$D$13)-IF(AND(H10&gt;0,Debts!$E$13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0</v>
      </c>
      <c r="I11" s="22" t="n">
        <f aca="false">IF(I10&lt;=0,0,MAX(0,I10*(1+Debts!$C$14/12)-MIN(I10*(1+Debts!$C$14/12),Debts!$D$14)-IF(AND(I10&gt;0,Debts!$E$14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0</v>
      </c>
      <c r="J11" s="22" t="n">
        <f aca="false">IF(J10&lt;=0,0,MAX(0,J10*(1+Debts!$C$15/12)-MIN(J10*(1+Debts!$C$15/12),Debts!$D$15)-IF(AND(J10&gt;0,Debts!$E$15=MIN(IF(C10&gt;0,Debts!$E$8,999),IF(D10&gt;0,Debts!$E$9,999),IF(E10&gt;0,Debts!$E$10,999),IF(F10&gt;0,Debts!$E$11,999),IF(G10&gt;0,Debts!$E$12,999),IF(H10&gt;0,Debts!$E$13,999),IF(I10&gt;0,Debts!$E$14,999),IF(J10&gt;0,Debts!$E$15,999))),MAX(0,(B11-(MIN(C10+0,C10*(1+Debts!$C$8/12))*0+MIN(C10*(1+Debts!$C$8/12),Debts!$D$8)+MIN(C10+0,D10*(1+Debts!$C$9/12))*0+MIN(D10*(1+Debts!$C$9/12),Debts!$D$9)+MIN(C10+0,E10*(1+Debts!$C$10/12))*0+MIN(E10*(1+Debts!$C$10/12),Debts!$D$10)+MIN(C10+0,F10*(1+Debts!$C$11/12))*0+MIN(F10*(1+Debts!$C$11/12),Debts!$D$11)+MIN(C10+0,G10*(1+Debts!$C$12/12))*0+MIN(G10*(1+Debts!$C$12/12),Debts!$D$12)+MIN(C10+0,H10*(1+Debts!$C$13/12))*0+MIN(H10*(1+Debts!$C$13/12),Debts!$D$13)+MIN(C10+0,I10*(1+Debts!$C$14/12))*0+MIN(I10*(1+Debts!$C$14/12),Debts!$D$14)+MIN(C10+0,J10*(1+Debts!$C$15/12))*0+MIN(J10*(1+Debts!$C$15/12),Debts!$D$15)))),0)))</f>
        <v>0</v>
      </c>
      <c r="K11" s="22" t="n">
        <f aca="false">IF(C10&gt;0,C10*Debts!$C$8/12,0)+IF(D10&gt;0,D10*Debts!$C$9/12,0)+IF(E10&gt;0,E10*Debts!$C$10/12,0)+IF(F10&gt;0,F10*Debts!$C$11/12,0)+IF(G10&gt;0,G10*Debts!$C$12/12,0)+IF(H10&gt;0,H10*Debts!$C$13/12,0)+IF(I10&gt;0,I10*Debts!$C$14/12,0)+IF(J10&gt;0,J10*Debts!$C$15/12,0)</f>
        <v>290.326625660838</v>
      </c>
      <c r="L11" s="22" t="n">
        <f aca="false">SUM(C11:J11)</f>
        <v>36231.2498378768</v>
      </c>
    </row>
    <row r="12" customFormat="false" ht="15" hidden="false" customHeight="false" outlineLevel="0" collapsed="false">
      <c r="A12" s="19" t="n">
        <f aca="false">5</f>
        <v>5</v>
      </c>
      <c r="B12" s="27" t="n">
        <f aca="false">IF(L11&lt;=0,0,Debts!$D$16+Debts!$B$4)</f>
        <v>1200</v>
      </c>
      <c r="C12" s="22" t="n">
        <f aca="false">IF(C11&lt;=0,0,MAX(0,C11*(1+Debts!$C$8/12)-MIN(C11*(1+Debts!$C$8/12),Debts!$D$8)-IF(AND(C11&gt;0,Debts!$E$8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3977.92754732186</v>
      </c>
      <c r="D12" s="22" t="n">
        <f aca="false">IF(D11&lt;=0,0,MAX(0,D11*(1+Debts!$C$9/12)-MIN(D11*(1+Debts!$C$9/12),Debts!$D$9)-IF(AND(D11&gt;0,Debts!$E$9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2238.20113281003</v>
      </c>
      <c r="E12" s="22" t="n">
        <f aca="false">IF(E11&lt;=0,0,MAX(0,E11*(1+Debts!$C$10/12)-MIN(E11*(1+Debts!$C$10/12),Debts!$D$10)-IF(AND(E11&gt;0,Debts!$E$10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10575.2460837166</v>
      </c>
      <c r="F12" s="22" t="n">
        <f aca="false">IF(F11&lt;=0,0,MAX(0,F11*(1+Debts!$C$11/12)-MIN(F11*(1+Debts!$C$11/12),Debts!$D$11)-IF(AND(F11&gt;0,Debts!$E$11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17868.1932552789</v>
      </c>
      <c r="G12" s="22" t="n">
        <f aca="false">IF(G11&lt;=0,0,MAX(0,G11*(1+Debts!$C$12/12)-MIN(G11*(1+Debts!$C$12/12),Debts!$D$12)-IF(AND(G11&gt;0,Debts!$E$12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650</v>
      </c>
      <c r="H12" s="22" t="n">
        <f aca="false">IF(H11&lt;=0,0,MAX(0,H11*(1+Debts!$C$13/12)-MIN(H11*(1+Debts!$C$13/12),Debts!$D$13)-IF(AND(H11&gt;0,Debts!$E$13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0</v>
      </c>
      <c r="I12" s="22" t="n">
        <f aca="false">IF(I11&lt;=0,0,MAX(0,I11*(1+Debts!$C$14/12)-MIN(I11*(1+Debts!$C$14/12),Debts!$D$14)-IF(AND(I11&gt;0,Debts!$E$14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0</v>
      </c>
      <c r="J12" s="22" t="n">
        <f aca="false">IF(J11&lt;=0,0,MAX(0,J11*(1+Debts!$C$15/12)-MIN(J11*(1+Debts!$C$15/12),Debts!$D$15)-IF(AND(J11&gt;0,Debts!$E$15=MIN(IF(C11&gt;0,Debts!$E$8,999),IF(D11&gt;0,Debts!$E$9,999),IF(E11&gt;0,Debts!$E$10,999),IF(F11&gt;0,Debts!$E$11,999),IF(G11&gt;0,Debts!$E$12,999),IF(H11&gt;0,Debts!$E$13,999),IF(I11&gt;0,Debts!$E$14,999),IF(J11&gt;0,Debts!$E$15,999))),MAX(0,(B12-(MIN(C11+0,C11*(1+Debts!$C$8/12))*0+MIN(C11*(1+Debts!$C$8/12),Debts!$D$8)+MIN(C11+0,D11*(1+Debts!$C$9/12))*0+MIN(D11*(1+Debts!$C$9/12),Debts!$D$9)+MIN(C11+0,E11*(1+Debts!$C$10/12))*0+MIN(E11*(1+Debts!$C$10/12),Debts!$D$10)+MIN(C11+0,F11*(1+Debts!$C$11/12))*0+MIN(F11*(1+Debts!$C$11/12),Debts!$D$11)+MIN(C11+0,G11*(1+Debts!$C$12/12))*0+MIN(G11*(1+Debts!$C$12/12),Debts!$D$12)+MIN(C11+0,H11*(1+Debts!$C$13/12))*0+MIN(H11*(1+Debts!$C$13/12),Debts!$D$13)+MIN(C11+0,I11*(1+Debts!$C$14/12))*0+MIN(I11*(1+Debts!$C$14/12),Debts!$D$14)+MIN(C11+0,J11*(1+Debts!$C$15/12))*0+MIN(J11*(1+Debts!$C$15/12),Debts!$D$15)))),0)))</f>
        <v>0</v>
      </c>
      <c r="K12" s="22" t="n">
        <f aca="false">IF(C11&gt;0,C11*Debts!$C$8/12,0)+IF(D11&gt;0,D11*Debts!$C$9/12,0)+IF(E11&gt;0,E11*Debts!$C$10/12,0)+IF(F11&gt;0,F11*Debts!$C$11/12,0)+IF(G11&gt;0,G11*Debts!$C$12/12,0)+IF(H11&gt;0,H11*Debts!$C$13/12,0)+IF(I11&gt;0,I11*Debts!$C$14/12,0)+IF(J11&gt;0,J11*Debts!$C$15/12,0)</f>
        <v>278.318181250599</v>
      </c>
      <c r="L12" s="22" t="n">
        <f aca="false">SUM(C12:J12)</f>
        <v>35309.5680191274</v>
      </c>
    </row>
    <row r="13" customFormat="false" ht="15" hidden="false" customHeight="false" outlineLevel="0" collapsed="false">
      <c r="A13" s="19" t="n">
        <f aca="false">6</f>
        <v>6</v>
      </c>
      <c r="B13" s="27" t="n">
        <f aca="false">IF(L12&lt;=0,0,Debts!$D$16+Debts!$B$4)</f>
        <v>1200</v>
      </c>
      <c r="C13" s="22" t="n">
        <f aca="false">IF(C12&lt;=0,0,MAX(0,C12*(1+Debts!$C$8/12)-MIN(C12*(1+Debts!$C$8/12),Debts!$D$8)-IF(AND(C12&gt;0,Debts!$E$8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3505.46954392879</v>
      </c>
      <c r="D13" s="22" t="n">
        <f aca="false">IF(D12&lt;=0,0,MAX(0,D12*(1+Debts!$C$9/12)-MIN(D12*(1+Debts!$C$9/12),Debts!$D$9)-IF(AND(D12&gt;0,Debts!$E$9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2204.04830348381</v>
      </c>
      <c r="E13" s="22" t="n">
        <f aca="false">IF(E12&lt;=0,0,MAX(0,E12*(1+Debts!$C$10/12)-MIN(E12*(1+Debts!$C$10/12),Debts!$D$10)-IF(AND(E12&gt;0,Debts!$E$10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10326.053748698</v>
      </c>
      <c r="F13" s="22" t="n">
        <f aca="false">IF(F12&lt;=0,0,MAX(0,F12*(1+Debts!$C$11/12)-MIN(F12*(1+Debts!$C$11/12),Debts!$D$11)-IF(AND(F12&gt;0,Debts!$E$11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17740.0891410322</v>
      </c>
      <c r="G13" s="22" t="n">
        <f aca="false">IF(G12&lt;=0,0,MAX(0,G12*(1+Debts!$C$12/12)-MIN(G12*(1+Debts!$C$12/12),Debts!$D$12)-IF(AND(G12&gt;0,Debts!$E$12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600</v>
      </c>
      <c r="H13" s="22" t="n">
        <f aca="false">IF(H12&lt;=0,0,MAX(0,H12*(1+Debts!$C$13/12)-MIN(H12*(1+Debts!$C$13/12),Debts!$D$13)-IF(AND(H12&gt;0,Debts!$E$13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0</v>
      </c>
      <c r="I13" s="22" t="n">
        <f aca="false">IF(I12&lt;=0,0,MAX(0,I12*(1+Debts!$C$14/12)-MIN(I12*(1+Debts!$C$14/12),Debts!$D$14)-IF(AND(I12&gt;0,Debts!$E$14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0</v>
      </c>
      <c r="J13" s="22" t="n">
        <f aca="false">IF(J12&lt;=0,0,MAX(0,J12*(1+Debts!$C$15/12)-MIN(J12*(1+Debts!$C$15/12),Debts!$D$15)-IF(AND(J12&gt;0,Debts!$E$15=MIN(IF(C12&gt;0,Debts!$E$8,999),IF(D12&gt;0,Debts!$E$9,999),IF(E12&gt;0,Debts!$E$10,999),IF(F12&gt;0,Debts!$E$11,999),IF(G12&gt;0,Debts!$E$12,999),IF(H12&gt;0,Debts!$E$13,999),IF(I12&gt;0,Debts!$E$14,999),IF(J12&gt;0,Debts!$E$15,999))),MAX(0,(B13-(MIN(C12+0,C12*(1+Debts!$C$8/12))*0+MIN(C12*(1+Debts!$C$8/12),Debts!$D$8)+MIN(C12+0,D12*(1+Debts!$C$9/12))*0+MIN(D12*(1+Debts!$C$9/12),Debts!$D$9)+MIN(C12+0,E12*(1+Debts!$C$10/12))*0+MIN(E12*(1+Debts!$C$10/12),Debts!$D$10)+MIN(C12+0,F12*(1+Debts!$C$11/12))*0+MIN(F12*(1+Debts!$C$11/12),Debts!$D$11)+MIN(C12+0,G12*(1+Debts!$C$12/12))*0+MIN(G12*(1+Debts!$C$12/12),Debts!$D$12)+MIN(C12+0,H12*(1+Debts!$C$13/12))*0+MIN(H12*(1+Debts!$C$13/12),Debts!$D$13)+MIN(C12+0,I12*(1+Debts!$C$14/12))*0+MIN(I12*(1+Debts!$C$14/12),Debts!$D$14)+MIN(C12+0,J12*(1+Debts!$C$15/12))*0+MIN(J12*(1+Debts!$C$15/12),Debts!$D$15)))),0)))</f>
        <v>0</v>
      </c>
      <c r="K13" s="22" t="n">
        <f aca="false">IF(C12&gt;0,C12*Debts!$C$8/12,0)+IF(D12&gt;0,D12*Debts!$C$9/12,0)+IF(E12&gt;0,E12*Debts!$C$10/12,0)+IF(F12&gt;0,F12*Debts!$C$11/12,0)+IF(G12&gt;0,G12*Debts!$C$12/12,0)+IF(H12&gt;0,H12*Debts!$C$13/12,0)+IF(I12&gt;0,I12*Debts!$C$14/12,0)+IF(J12&gt;0,J12*Debts!$C$15/12,0)</f>
        <v>266.092718015444</v>
      </c>
      <c r="L13" s="22" t="n">
        <f aca="false">SUM(C13:J13)</f>
        <v>34375.6607371428</v>
      </c>
    </row>
    <row r="14" customFormat="false" ht="15" hidden="false" customHeight="false" outlineLevel="0" collapsed="false">
      <c r="A14" s="19" t="n">
        <f aca="false">7</f>
        <v>7</v>
      </c>
      <c r="B14" s="27" t="n">
        <f aca="false">IF(L13&lt;=0,0,Debts!$D$16+Debts!$B$4)</f>
        <v>1200</v>
      </c>
      <c r="C14" s="22" t="n">
        <f aca="false">IF(C13&lt;=0,0,MAX(0,C13*(1+Debts!$C$8/12)-MIN(C13*(1+Debts!$C$8/12),Debts!$D$8)-IF(AND(C13&gt;0,Debts!$E$8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3023.20803696531</v>
      </c>
      <c r="D14" s="22" t="n">
        <f aca="false">IF(D13&lt;=0,0,MAX(0,D13*(1+Debts!$C$9/12)-MIN(D13*(1+Debts!$C$9/12),Debts!$D$9)-IF(AND(D13&gt;0,Debts!$E$9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2169.27218502239</v>
      </c>
      <c r="E14" s="22" t="n">
        <f aca="false">IF(E13&lt;=0,0,MAX(0,E13*(1+Debts!$C$10/12)-MIN(E13*(1+Debts!$C$10/12),Debts!$D$10)-IF(AND(E13&gt;0,Debts!$E$10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10075.428557753</v>
      </c>
      <c r="F14" s="22" t="n">
        <f aca="false">IF(F13&lt;=0,0,MAX(0,F13*(1+Debts!$C$11/12)-MIN(F13*(1+Debts!$C$11/12),Debts!$D$11)-IF(AND(F13&gt;0,Debts!$E$11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17611.3978829286</v>
      </c>
      <c r="G14" s="22" t="n">
        <f aca="false">IF(G13&lt;=0,0,MAX(0,G13*(1+Debts!$C$12/12)-MIN(G13*(1+Debts!$C$12/12),Debts!$D$12)-IF(AND(G13&gt;0,Debts!$E$12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550</v>
      </c>
      <c r="H14" s="22" t="n">
        <f aca="false">IF(H13&lt;=0,0,MAX(0,H13*(1+Debts!$C$13/12)-MIN(H13*(1+Debts!$C$13/12),Debts!$D$13)-IF(AND(H13&gt;0,Debts!$E$13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0</v>
      </c>
      <c r="I14" s="22" t="n">
        <f aca="false">IF(I13&lt;=0,0,MAX(0,I13*(1+Debts!$C$14/12)-MIN(I13*(1+Debts!$C$14/12),Debts!$D$14)-IF(AND(I13&gt;0,Debts!$E$14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0</v>
      </c>
      <c r="J14" s="22" t="n">
        <f aca="false">IF(J13&lt;=0,0,MAX(0,J13*(1+Debts!$C$15/12)-MIN(J13*(1+Debts!$C$15/12),Debts!$D$15)-IF(AND(J13&gt;0,Debts!$E$15=MIN(IF(C13&gt;0,Debts!$E$8,999),IF(D13&gt;0,Debts!$E$9,999),IF(E13&gt;0,Debts!$E$10,999),IF(F13&gt;0,Debts!$E$11,999),IF(G13&gt;0,Debts!$E$12,999),IF(H13&gt;0,Debts!$E$13,999),IF(I13&gt;0,Debts!$E$14,999),IF(J13&gt;0,Debts!$E$15,999))),MAX(0,(B14-(MIN(C13+0,C13*(1+Debts!$C$8/12))*0+MIN(C13*(1+Debts!$C$8/12),Debts!$D$8)+MIN(C13+0,D13*(1+Debts!$C$9/12))*0+MIN(D13*(1+Debts!$C$9/12),Debts!$D$9)+MIN(C13+0,E13*(1+Debts!$C$10/12))*0+MIN(E13*(1+Debts!$C$10/12),Debts!$D$10)+MIN(C13+0,F13*(1+Debts!$C$11/12))*0+MIN(F13*(1+Debts!$C$11/12),Debts!$D$11)+MIN(C13+0,G13*(1+Debts!$C$12/12))*0+MIN(G13*(1+Debts!$C$12/12),Debts!$D$12)+MIN(C13+0,H13*(1+Debts!$C$13/12))*0+MIN(H13*(1+Debts!$C$13/12),Debts!$D$13)+MIN(C13+0,I13*(1+Debts!$C$14/12))*0+MIN(I13*(1+Debts!$C$14/12),Debts!$D$14)+MIN(C13+0,J13*(1+Debts!$C$15/12))*0+MIN(J13*(1+Debts!$C$15/12),Debts!$D$15)))),0)))</f>
        <v>0</v>
      </c>
      <c r="K14" s="22" t="n">
        <f aca="false">IF(C13&gt;0,C13*Debts!$C$8/12,0)+IF(D13&gt;0,D13*Debts!$C$9/12,0)+IF(E13&gt;0,E13*Debts!$C$10/12,0)+IF(F13&gt;0,F13*Debts!$C$11/12,0)+IF(G13&gt;0,G13*Debts!$C$12/12,0)+IF(H13&gt;0,H13*Debts!$C$13/12,0)+IF(I13&gt;0,I13*Debts!$C$14/12,0)+IF(J13&gt;0,J13*Debts!$C$15/12,0)</f>
        <v>253.645925526513</v>
      </c>
      <c r="L14" s="22" t="n">
        <f aca="false">SUM(C14:J14)</f>
        <v>33429.3066626693</v>
      </c>
    </row>
    <row r="15" customFormat="false" ht="15" hidden="false" customHeight="false" outlineLevel="0" collapsed="false">
      <c r="A15" s="19" t="n">
        <f aca="false">8</f>
        <v>8</v>
      </c>
      <c r="B15" s="27" t="n">
        <f aca="false">IF(L14&lt;=0,0,Debts!$D$16+Debts!$B$4)</f>
        <v>1200</v>
      </c>
      <c r="C15" s="22" t="n">
        <f aca="false">IF(C14&lt;=0,0,MAX(0,C14*(1+Debts!$C$8/12)-MIN(C14*(1+Debts!$C$8/12),Debts!$D$8)-IF(AND(C14&gt;0,Debts!$E$8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2530.93960373234</v>
      </c>
      <c r="D15" s="22" t="n">
        <f aca="false">IF(D14&lt;=0,0,MAX(0,D14*(1+Debts!$C$9/12)-MIN(D14*(1+Debts!$C$9/12),Debts!$D$9)-IF(AND(D14&gt;0,Debts!$E$9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2133.86140239905</v>
      </c>
      <c r="E15" s="22" t="n">
        <f aca="false">IF(E14&lt;=0,0,MAX(0,E14*(1+Debts!$C$10/12)-MIN(E14*(1+Debts!$C$10/12),Debts!$D$10)-IF(AND(E14&gt;0,Debts!$E$10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9823.36227196008</v>
      </c>
      <c r="F15" s="22" t="n">
        <f aca="false">IF(F14&lt;=0,0,MAX(0,F14*(1+Debts!$C$11/12)-MIN(F14*(1+Debts!$C$11/12),Debts!$D$11)-IF(AND(F14&gt;0,Debts!$E$11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17482.116789892</v>
      </c>
      <c r="G15" s="22" t="n">
        <f aca="false">IF(G14&lt;=0,0,MAX(0,G14*(1+Debts!$C$12/12)-MIN(G14*(1+Debts!$C$12/12),Debts!$D$12)-IF(AND(G14&gt;0,Debts!$E$12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500</v>
      </c>
      <c r="H15" s="22" t="n">
        <f aca="false">IF(H14&lt;=0,0,MAX(0,H14*(1+Debts!$C$13/12)-MIN(H14*(1+Debts!$C$13/12),Debts!$D$13)-IF(AND(H14&gt;0,Debts!$E$13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0</v>
      </c>
      <c r="I15" s="22" t="n">
        <f aca="false">IF(I14&lt;=0,0,MAX(0,I14*(1+Debts!$C$14/12)-MIN(I14*(1+Debts!$C$14/12),Debts!$D$14)-IF(AND(I14&gt;0,Debts!$E$14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0</v>
      </c>
      <c r="J15" s="22" t="n">
        <f aca="false">IF(J14&lt;=0,0,MAX(0,J14*(1+Debts!$C$15/12)-MIN(J14*(1+Debts!$C$15/12),Debts!$D$15)-IF(AND(J14&gt;0,Debts!$E$15=MIN(IF(C14&gt;0,Debts!$E$8,999),IF(D14&gt;0,Debts!$E$9,999),IF(E14&gt;0,Debts!$E$10,999),IF(F14&gt;0,Debts!$E$11,999),IF(G14&gt;0,Debts!$E$12,999),IF(H14&gt;0,Debts!$E$13,999),IF(I14&gt;0,Debts!$E$14,999),IF(J14&gt;0,Debts!$E$15,999))),MAX(0,(B15-(MIN(C14+0,C14*(1+Debts!$C$8/12))*0+MIN(C14*(1+Debts!$C$8/12),Debts!$D$8)+MIN(C14+0,D14*(1+Debts!$C$9/12))*0+MIN(D14*(1+Debts!$C$9/12),Debts!$D$9)+MIN(C14+0,E14*(1+Debts!$C$10/12))*0+MIN(E14*(1+Debts!$C$10/12),Debts!$D$10)+MIN(C14+0,F14*(1+Debts!$C$11/12))*0+MIN(F14*(1+Debts!$C$11/12),Debts!$D$11)+MIN(C14+0,G14*(1+Debts!$C$12/12))*0+MIN(G14*(1+Debts!$C$12/12),Debts!$D$12)+MIN(C14+0,H14*(1+Debts!$C$13/12))*0+MIN(H14*(1+Debts!$C$13/12),Debts!$D$13)+MIN(C14+0,I14*(1+Debts!$C$14/12))*0+MIN(I14*(1+Debts!$C$14/12),Debts!$D$14)+MIN(C14+0,J14*(1+Debts!$C$15/12))*0+MIN(J14*(1+Debts!$C$15/12),Debts!$D$15)))),0)))</f>
        <v>0</v>
      </c>
      <c r="K15" s="22" t="n">
        <f aca="false">IF(C14&gt;0,C14*Debts!$C$8/12,0)+IF(D14&gt;0,D14*Debts!$C$9/12,0)+IF(E14&gt;0,E14*Debts!$C$10/12,0)+IF(F14&gt;0,F14*Debts!$C$11/12,0)+IF(G14&gt;0,G14*Debts!$C$12/12,0)+IF(H14&gt;0,H14*Debts!$C$13/12,0)+IF(I14&gt;0,I14*Debts!$C$14/12,0)+IF(J14&gt;0,J14*Debts!$C$15/12,0)</f>
        <v>240.973405314191</v>
      </c>
      <c r="L15" s="22" t="n">
        <f aca="false">SUM(C15:J15)</f>
        <v>32470.2800679835</v>
      </c>
    </row>
    <row r="16" customFormat="false" ht="15" hidden="false" customHeight="false" outlineLevel="0" collapsed="false">
      <c r="A16" s="19" t="n">
        <f aca="false">9</f>
        <v>9</v>
      </c>
      <c r="B16" s="27" t="n">
        <f aca="false">IF(L15&lt;=0,0,Debts!$D$16+Debts!$B$4)</f>
        <v>1200</v>
      </c>
      <c r="C16" s="22" t="n">
        <f aca="false">IF(C15&lt;=0,0,MAX(0,C15*(1+Debts!$C$8/12)-MIN(C15*(1+Debts!$C$8/12),Debts!$D$8)-IF(AND(C15&gt;0,Debts!$E$8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2028.45660050979</v>
      </c>
      <c r="D16" s="22" t="n">
        <f aca="false">IF(D15&lt;=0,0,MAX(0,D15*(1+Debts!$C$9/12)-MIN(D15*(1+Debts!$C$9/12),Debts!$D$9)-IF(AND(D15&gt;0,Debts!$E$9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2097.80437299283</v>
      </c>
      <c r="E16" s="22" t="n">
        <f aca="false">IF(E15&lt;=0,0,MAX(0,E15*(1+Debts!$C$10/12)-MIN(E15*(1+Debts!$C$10/12),Debts!$D$10)-IF(AND(E15&gt;0,Debts!$E$10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9569.84660502385</v>
      </c>
      <c r="F16" s="22" t="n">
        <f aca="false">IF(F15&lt;=0,0,MAX(0,F15*(1+Debts!$C$11/12)-MIN(F15*(1+Debts!$C$11/12),Debts!$D$11)-IF(AND(F15&gt;0,Debts!$E$11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17352.2431585124</v>
      </c>
      <c r="G16" s="22" t="n">
        <f aca="false">IF(G15&lt;=0,0,MAX(0,G15*(1+Debts!$C$12/12)-MIN(G15*(1+Debts!$C$12/12),Debts!$D$12)-IF(AND(G15&gt;0,Debts!$E$12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450</v>
      </c>
      <c r="H16" s="22" t="n">
        <f aca="false">IF(H15&lt;=0,0,MAX(0,H15*(1+Debts!$C$13/12)-MIN(H15*(1+Debts!$C$13/12),Debts!$D$13)-IF(AND(H15&gt;0,Debts!$E$13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0</v>
      </c>
      <c r="I16" s="22" t="n">
        <f aca="false">IF(I15&lt;=0,0,MAX(0,I15*(1+Debts!$C$14/12)-MIN(I15*(1+Debts!$C$14/12),Debts!$D$14)-IF(AND(I15&gt;0,Debts!$E$14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0</v>
      </c>
      <c r="J16" s="22" t="n">
        <f aca="false">IF(J15&lt;=0,0,MAX(0,J15*(1+Debts!$C$15/12)-MIN(J15*(1+Debts!$C$15/12),Debts!$D$15)-IF(AND(J15&gt;0,Debts!$E$15=MIN(IF(C15&gt;0,Debts!$E$8,999),IF(D15&gt;0,Debts!$E$9,999),IF(E15&gt;0,Debts!$E$10,999),IF(F15&gt;0,Debts!$E$11,999),IF(G15&gt;0,Debts!$E$12,999),IF(H15&gt;0,Debts!$E$13,999),IF(I15&gt;0,Debts!$E$14,999),IF(J15&gt;0,Debts!$E$15,999))),MAX(0,(B16-(MIN(C15+0,C15*(1+Debts!$C$8/12))*0+MIN(C15*(1+Debts!$C$8/12),Debts!$D$8)+MIN(C15+0,D15*(1+Debts!$C$9/12))*0+MIN(D15*(1+Debts!$C$9/12),Debts!$D$9)+MIN(C15+0,E15*(1+Debts!$C$10/12))*0+MIN(E15*(1+Debts!$C$10/12),Debts!$D$10)+MIN(C15+0,F15*(1+Debts!$C$11/12))*0+MIN(F15*(1+Debts!$C$11/12),Debts!$D$11)+MIN(C15+0,G15*(1+Debts!$C$12/12))*0+MIN(G15*(1+Debts!$C$12/12),Debts!$D$12)+MIN(C15+0,H15*(1+Debts!$C$13/12))*0+MIN(H15*(1+Debts!$C$13/12),Debts!$D$13)+MIN(C15+0,I15*(1+Debts!$C$14/12))*0+MIN(I15*(1+Debts!$C$14/12),Debts!$D$14)+MIN(C15+0,J15*(1+Debts!$C$15/12))*0+MIN(J15*(1+Debts!$C$15/12),Debts!$D$15)))),0)))</f>
        <v>0</v>
      </c>
      <c r="K16" s="22" t="n">
        <f aca="false">IF(C15&gt;0,C15*Debts!$C$8/12,0)+IF(D15&gt;0,D15*Debts!$C$9/12,0)+IF(E15&gt;0,E15*Debts!$C$10/12,0)+IF(F15&gt;0,F15*Debts!$C$11/12,0)+IF(G15&gt;0,G15*Debts!$C$12/12,0)+IF(H15&gt;0,H15*Debts!$C$13/12,0)+IF(I15&gt;0,I15*Debts!$C$14/12,0)+IF(J15&gt;0,J15*Debts!$C$15/12,0)</f>
        <v>228.070669055338</v>
      </c>
      <c r="L16" s="22" t="n">
        <f aca="false">SUM(C16:J16)</f>
        <v>31498.3507370388</v>
      </c>
    </row>
    <row r="17" customFormat="false" ht="15" hidden="false" customHeight="false" outlineLevel="0" collapsed="false">
      <c r="A17" s="19" t="n">
        <f aca="false">10</f>
        <v>10</v>
      </c>
      <c r="B17" s="27" t="n">
        <f aca="false">IF(L16&lt;=0,0,Debts!$D$16+Debts!$B$4)</f>
        <v>1200</v>
      </c>
      <c r="C17" s="22" t="n">
        <f aca="false">IF(C16&lt;=0,0,MAX(0,C16*(1+Debts!$C$8/12)-MIN(C16*(1+Debts!$C$8/12),Debts!$D$8)-IF(AND(C16&gt;0,Debts!$E$8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1515.54707497037</v>
      </c>
      <c r="D17" s="22" t="n">
        <f aca="false">IF(D16&lt;=0,0,MAX(0,D16*(1+Debts!$C$9/12)-MIN(D16*(1+Debts!$C$9/12),Debts!$D$9)-IF(AND(D16&gt;0,Debts!$E$9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2061.08930279995</v>
      </c>
      <c r="E17" s="22" t="n">
        <f aca="false">IF(E16&lt;=0,0,MAX(0,E16*(1+Debts!$C$10/12)-MIN(E16*(1+Debts!$C$10/12),Debts!$D$10)-IF(AND(E16&gt;0,Debts!$E$10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9314.87322300274</v>
      </c>
      <c r="F17" s="22" t="n">
        <f aca="false">IF(F16&lt;=0,0,MAX(0,F16*(1+Debts!$C$11/12)-MIN(F16*(1+Debts!$C$11/12),Debts!$D$11)-IF(AND(F16&gt;0,Debts!$E$11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17221.7742729889</v>
      </c>
      <c r="G17" s="22" t="n">
        <f aca="false">IF(G16&lt;=0,0,MAX(0,G16*(1+Debts!$C$12/12)-MIN(G16*(1+Debts!$C$12/12),Debts!$D$12)-IF(AND(G16&gt;0,Debts!$E$12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400</v>
      </c>
      <c r="H17" s="22" t="n">
        <f aca="false">IF(H16&lt;=0,0,MAX(0,H16*(1+Debts!$C$13/12)-MIN(H16*(1+Debts!$C$13/12),Debts!$D$13)-IF(AND(H16&gt;0,Debts!$E$13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0</v>
      </c>
      <c r="I17" s="22" t="n">
        <f aca="false">IF(I16&lt;=0,0,MAX(0,I16*(1+Debts!$C$14/12)-MIN(I16*(1+Debts!$C$14/12),Debts!$D$14)-IF(AND(I16&gt;0,Debts!$E$14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0</v>
      </c>
      <c r="J17" s="22" t="n">
        <f aca="false">IF(J16&lt;=0,0,MAX(0,J16*(1+Debts!$C$15/12)-MIN(J16*(1+Debts!$C$15/12),Debts!$D$15)-IF(AND(J16&gt;0,Debts!$E$15=MIN(IF(C16&gt;0,Debts!$E$8,999),IF(D16&gt;0,Debts!$E$9,999),IF(E16&gt;0,Debts!$E$10,999),IF(F16&gt;0,Debts!$E$11,999),IF(G16&gt;0,Debts!$E$12,999),IF(H16&gt;0,Debts!$E$13,999),IF(I16&gt;0,Debts!$E$14,999),IF(J16&gt;0,Debts!$E$15,999))),MAX(0,(B17-(MIN(C16+0,C16*(1+Debts!$C$8/12))*0+MIN(C16*(1+Debts!$C$8/12),Debts!$D$8)+MIN(C16+0,D16*(1+Debts!$C$9/12))*0+MIN(D16*(1+Debts!$C$9/12),Debts!$D$9)+MIN(C16+0,E16*(1+Debts!$C$10/12))*0+MIN(E16*(1+Debts!$C$10/12),Debts!$D$10)+MIN(C16+0,F16*(1+Debts!$C$11/12))*0+MIN(F16*(1+Debts!$C$11/12),Debts!$D$11)+MIN(C16+0,G16*(1+Debts!$C$12/12))*0+MIN(G16*(1+Debts!$C$12/12),Debts!$D$12)+MIN(C16+0,H16*(1+Debts!$C$13/12))*0+MIN(H16*(1+Debts!$C$13/12),Debts!$D$13)+MIN(C16+0,I16*(1+Debts!$C$14/12))*0+MIN(I16*(1+Debts!$C$14/12),Debts!$D$14)+MIN(C16+0,J16*(1+Debts!$C$15/12))*0+MIN(J16*(1+Debts!$C$15/12),Debts!$D$15)))),0)))</f>
        <v>0</v>
      </c>
      <c r="K17" s="22" t="n">
        <f aca="false">IF(C16&gt;0,C16*Debts!$C$8/12,0)+IF(D16&gt;0,D16*Debts!$C$9/12,0)+IF(E16&gt;0,E16*Debts!$C$10/12,0)+IF(F16&gt;0,F16*Debts!$C$11/12,0)+IF(G16&gt;0,G16*Debts!$C$12/12,0)+IF(H16&gt;0,H16*Debts!$C$13/12,0)+IF(I16&gt;0,I16*Debts!$C$14/12,0)+IF(J16&gt;0,J16*Debts!$C$15/12,0)</f>
        <v>214.933136723099</v>
      </c>
      <c r="L17" s="22" t="n">
        <f aca="false">SUM(C17:J17)</f>
        <v>30513.2838737619</v>
      </c>
    </row>
    <row r="18" customFormat="false" ht="15" hidden="false" customHeight="false" outlineLevel="0" collapsed="false">
      <c r="A18" s="19" t="n">
        <f aca="false">11</f>
        <v>11</v>
      </c>
      <c r="B18" s="27" t="n">
        <f aca="false">IF(L17&lt;=0,0,Debts!$D$16+Debts!$B$4)</f>
        <v>1200</v>
      </c>
      <c r="C18" s="22" t="n">
        <f aca="false">IF(C17&lt;=0,0,MAX(0,C17*(1+Debts!$C$8/12)-MIN(C17*(1+Debts!$C$8/12),Debts!$D$8)-IF(AND(C17&gt;0,Debts!$E$8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991.994676776001</v>
      </c>
      <c r="D18" s="22" t="n">
        <f aca="false">IF(D17&lt;=0,0,MAX(0,D17*(1+Debts!$C$9/12)-MIN(D17*(1+Debts!$C$9/12),Debts!$D$9)-IF(AND(D17&gt;0,Debts!$E$9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2023.70418257605</v>
      </c>
      <c r="E18" s="22" t="n">
        <f aca="false">IF(E17&lt;=0,0,MAX(0,E17*(1+Debts!$C$10/12)-MIN(E17*(1+Debts!$C$10/12),Debts!$D$10)-IF(AND(E17&gt;0,Debts!$E$10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9058.433744035</v>
      </c>
      <c r="F18" s="22" t="n">
        <f aca="false">IF(F17&lt;=0,0,MAX(0,F17*(1+Debts!$C$11/12)-MIN(F17*(1+Debts!$C$11/12),Debts!$D$11)-IF(AND(F17&gt;0,Debts!$E$11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17090.7074050734</v>
      </c>
      <c r="G18" s="22" t="n">
        <f aca="false">IF(G17&lt;=0,0,MAX(0,G17*(1+Debts!$C$12/12)-MIN(G17*(1+Debts!$C$12/12),Debts!$D$12)-IF(AND(G17&gt;0,Debts!$E$12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350</v>
      </c>
      <c r="H18" s="22" t="n">
        <f aca="false">IF(H17&lt;=0,0,MAX(0,H17*(1+Debts!$C$13/12)-MIN(H17*(1+Debts!$C$13/12),Debts!$D$13)-IF(AND(H17&gt;0,Debts!$E$13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0</v>
      </c>
      <c r="I18" s="22" t="n">
        <f aca="false">IF(I17&lt;=0,0,MAX(0,I17*(1+Debts!$C$14/12)-MIN(I17*(1+Debts!$C$14/12),Debts!$D$14)-IF(AND(I17&gt;0,Debts!$E$14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0</v>
      </c>
      <c r="J18" s="22" t="n">
        <f aca="false">IF(J17&lt;=0,0,MAX(0,J17*(1+Debts!$C$15/12)-MIN(J17*(1+Debts!$C$15/12),Debts!$D$15)-IF(AND(J17&gt;0,Debts!$E$15=MIN(IF(C17&gt;0,Debts!$E$8,999),IF(D17&gt;0,Debts!$E$9,999),IF(E17&gt;0,Debts!$E$10,999),IF(F17&gt;0,Debts!$E$11,999),IF(G17&gt;0,Debts!$E$12,999),IF(H17&gt;0,Debts!$E$13,999),IF(I17&gt;0,Debts!$E$14,999),IF(J17&gt;0,Debts!$E$15,999))),MAX(0,(B18-(MIN(C17+0,C17*(1+Debts!$C$8/12))*0+MIN(C17*(1+Debts!$C$8/12),Debts!$D$8)+MIN(C17+0,D17*(1+Debts!$C$9/12))*0+MIN(D17*(1+Debts!$C$9/12),Debts!$D$9)+MIN(C17+0,E17*(1+Debts!$C$10/12))*0+MIN(E17*(1+Debts!$C$10/12),Debts!$D$10)+MIN(C17+0,F17*(1+Debts!$C$11/12))*0+MIN(F17*(1+Debts!$C$11/12),Debts!$D$11)+MIN(C17+0,G17*(1+Debts!$C$12/12))*0+MIN(G17*(1+Debts!$C$12/12),Debts!$D$12)+MIN(C17+0,H17*(1+Debts!$C$13/12))*0+MIN(H17*(1+Debts!$C$13/12),Debts!$D$13)+MIN(C17+0,I17*(1+Debts!$C$14/12))*0+MIN(I17*(1+Debts!$C$14/12),Debts!$D$14)+MIN(C17+0,J17*(1+Debts!$C$15/12))*0+MIN(J17*(1+Debts!$C$15/12),Debts!$D$15)))),0)))</f>
        <v>0</v>
      </c>
      <c r="K18" s="22" t="n">
        <f aca="false">IF(C17&gt;0,C17*Debts!$C$8/12,0)+IF(D17&gt;0,D17*Debts!$C$9/12,0)+IF(E17&gt;0,E17*Debts!$C$10/12,0)+IF(F17&gt;0,F17*Debts!$C$11/12,0)+IF(G17&gt;0,G17*Debts!$C$12/12,0)+IF(H17&gt;0,H17*Debts!$C$13/12,0)+IF(I17&gt;0,I17*Debts!$C$14/12,0)+IF(J17&gt;0,J17*Debts!$C$15/12,0)</f>
        <v>201.556134698532</v>
      </c>
      <c r="L18" s="22" t="n">
        <f aca="false">SUM(C18:J18)</f>
        <v>29514.8400084605</v>
      </c>
    </row>
    <row r="19" customFormat="false" ht="15" hidden="false" customHeight="false" outlineLevel="0" collapsed="false">
      <c r="A19" s="19" t="n">
        <f aca="false">12</f>
        <v>12</v>
      </c>
      <c r="B19" s="27" t="n">
        <f aca="false">IF(L18&lt;=0,0,Debts!$D$16+Debts!$B$4)</f>
        <v>1200</v>
      </c>
      <c r="C19" s="22" t="n">
        <f aca="false">IF(C18&lt;=0,0,MAX(0,C18*(1+Debts!$C$8/12)-MIN(C18*(1+Debts!$C$8/12),Debts!$D$8)-IF(AND(C18&gt;0,Debts!$E$8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457.578566319103</v>
      </c>
      <c r="D19" s="22" t="n">
        <f aca="false">IF(D18&lt;=0,0,MAX(0,D18*(1+Debts!$C$9/12)-MIN(D18*(1+Debts!$C$9/12),Debts!$D$9)-IF(AND(D18&gt;0,Debts!$E$9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1985.63678390807</v>
      </c>
      <c r="E19" s="22" t="n">
        <f aca="false">IF(E18&lt;=0,0,MAX(0,E18*(1+Debts!$C$10/12)-MIN(E18*(1+Debts!$C$10/12),Debts!$D$10)-IF(AND(E18&gt;0,Debts!$E$10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8800.5197380632</v>
      </c>
      <c r="F19" s="22" t="n">
        <f aca="false">IF(F18&lt;=0,0,MAX(0,F18*(1+Debts!$C$11/12)-MIN(F18*(1+Debts!$C$11/12),Debts!$D$11)-IF(AND(F18&gt;0,Debts!$E$11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16959.0398140133</v>
      </c>
      <c r="G19" s="22" t="n">
        <f aca="false">IF(G18&lt;=0,0,MAX(0,G18*(1+Debts!$C$12/12)-MIN(G18*(1+Debts!$C$12/12),Debts!$D$12)-IF(AND(G18&gt;0,Debts!$E$12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300</v>
      </c>
      <c r="H19" s="22" t="n">
        <f aca="false">IF(H18&lt;=0,0,MAX(0,H18*(1+Debts!$C$13/12)-MIN(H18*(1+Debts!$C$13/12),Debts!$D$13)-IF(AND(H18&gt;0,Debts!$E$13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0</v>
      </c>
      <c r="I19" s="22" t="n">
        <f aca="false">IF(I18&lt;=0,0,MAX(0,I18*(1+Debts!$C$14/12)-MIN(I18*(1+Debts!$C$14/12),Debts!$D$14)-IF(AND(I18&gt;0,Debts!$E$14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0</v>
      </c>
      <c r="J19" s="22" t="n">
        <f aca="false">IF(J18&lt;=0,0,MAX(0,J18*(1+Debts!$C$15/12)-MIN(J18*(1+Debts!$C$15/12),Debts!$D$15)-IF(AND(J18&gt;0,Debts!$E$15=MIN(IF(C18&gt;0,Debts!$E$8,999),IF(D18&gt;0,Debts!$E$9,999),IF(E18&gt;0,Debts!$E$10,999),IF(F18&gt;0,Debts!$E$11,999),IF(G18&gt;0,Debts!$E$12,999),IF(H18&gt;0,Debts!$E$13,999),IF(I18&gt;0,Debts!$E$14,999),IF(J18&gt;0,Debts!$E$15,999))),MAX(0,(B19-(MIN(C18+0,C18*(1+Debts!$C$8/12))*0+MIN(C18*(1+Debts!$C$8/12),Debts!$D$8)+MIN(C18+0,D18*(1+Debts!$C$9/12))*0+MIN(D18*(1+Debts!$C$9/12),Debts!$D$9)+MIN(C18+0,E18*(1+Debts!$C$10/12))*0+MIN(E18*(1+Debts!$C$10/12),Debts!$D$10)+MIN(C18+0,F18*(1+Debts!$C$11/12))*0+MIN(F18*(1+Debts!$C$11/12),Debts!$D$11)+MIN(C18+0,G18*(1+Debts!$C$12/12))*0+MIN(G18*(1+Debts!$C$12/12),Debts!$D$12)+MIN(C18+0,H18*(1+Debts!$C$13/12))*0+MIN(H18*(1+Debts!$C$13/12),Debts!$D$13)+MIN(C18+0,I18*(1+Debts!$C$14/12))*0+MIN(I18*(1+Debts!$C$14/12),Debts!$D$14)+MIN(C18+0,J18*(1+Debts!$C$15/12))*0+MIN(J18*(1+Debts!$C$15/12),Debts!$D$15)))),0)))</f>
        <v>0</v>
      </c>
      <c r="K19" s="22" t="n">
        <f aca="false">IF(C18&gt;0,C18*Debts!$C$8/12,0)+IF(D18&gt;0,D18*Debts!$C$9/12,0)+IF(E18&gt;0,E18*Debts!$C$10/12,0)+IF(F18&gt;0,F18*Debts!$C$11/12,0)+IF(G18&gt;0,G18*Debts!$C$12/12,0)+IF(H18&gt;0,H18*Debts!$C$13/12,0)+IF(I18&gt;0,I18*Debts!$C$14/12,0)+IF(J18&gt;0,J18*Debts!$C$15/12,0)</f>
        <v>187.934893843236</v>
      </c>
      <c r="L19" s="22" t="n">
        <f aca="false">SUM(C19:J19)</f>
        <v>28502.7749023037</v>
      </c>
    </row>
    <row r="20" customFormat="false" ht="15" hidden="false" customHeight="false" outlineLevel="0" collapsed="false">
      <c r="A20" s="19" t="n">
        <f aca="false">13</f>
        <v>13</v>
      </c>
      <c r="B20" s="27" t="n">
        <f aca="false">IF(L19&lt;=0,0,Debts!$D$16+Debts!$B$4)</f>
        <v>1200</v>
      </c>
      <c r="C20" s="22" t="n">
        <f aca="false">IF(C19&lt;=0,0,MAX(0,C19*(1+Debts!$C$8/12)-MIN(C19*(1+Debts!$C$8/12),Debts!$D$8)-IF(AND(C19&gt;0,Debts!$E$8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0</v>
      </c>
      <c r="D20" s="22" t="n">
        <f aca="false">IF(D19&lt;=0,0,MAX(0,D19*(1+Debts!$C$9/12)-MIN(D19*(1+Debts!$C$9/12),Debts!$D$9)-IF(AND(D19&gt;0,Debts!$E$9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1946.87465521439</v>
      </c>
      <c r="E20" s="22" t="n">
        <f aca="false">IF(E19&lt;=0,0,MAX(0,E19*(1+Debts!$C$10/12)-MIN(E19*(1+Debts!$C$10/12),Debts!$D$10)-IF(AND(E19&gt;0,Debts!$E$10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8541.12272655707</v>
      </c>
      <c r="F20" s="22" t="n">
        <f aca="false">IF(F19&lt;=0,0,MAX(0,F19*(1+Debts!$C$11/12)-MIN(F19*(1+Debts!$C$11/12),Debts!$D$11)-IF(AND(F19&gt;0,Debts!$E$11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16826.7687464942</v>
      </c>
      <c r="G20" s="22" t="n">
        <f aca="false">IF(G19&lt;=0,0,MAX(0,G19*(1+Debts!$C$12/12)-MIN(G19*(1+Debts!$C$12/12),Debts!$D$12)-IF(AND(G19&gt;0,Debts!$E$12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250</v>
      </c>
      <c r="H20" s="22" t="n">
        <f aca="false">IF(H19&lt;=0,0,MAX(0,H19*(1+Debts!$C$13/12)-MIN(H19*(1+Debts!$C$13/12),Debts!$D$13)-IF(AND(H19&gt;0,Debts!$E$13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0</v>
      </c>
      <c r="I20" s="22" t="n">
        <f aca="false">IF(I19&lt;=0,0,MAX(0,I19*(1+Debts!$C$14/12)-MIN(I19*(1+Debts!$C$14/12),Debts!$D$14)-IF(AND(I19&gt;0,Debts!$E$14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0</v>
      </c>
      <c r="J20" s="22" t="n">
        <f aca="false">IF(J19&lt;=0,0,MAX(0,J19*(1+Debts!$C$15/12)-MIN(J19*(1+Debts!$C$15/12),Debts!$D$15)-IF(AND(J19&gt;0,Debts!$E$15=MIN(IF(C19&gt;0,Debts!$E$8,999),IF(D19&gt;0,Debts!$E$9,999),IF(E19&gt;0,Debts!$E$10,999),IF(F19&gt;0,Debts!$E$11,999),IF(G19&gt;0,Debts!$E$12,999),IF(H19&gt;0,Debts!$E$13,999),IF(I19&gt;0,Debts!$E$14,999),IF(J19&gt;0,Debts!$E$15,999))),MAX(0,(B20-(MIN(C19+0,C19*(1+Debts!$C$8/12))*0+MIN(C19*(1+Debts!$C$8/12),Debts!$D$8)+MIN(C19+0,D19*(1+Debts!$C$9/12))*0+MIN(D19*(1+Debts!$C$9/12),Debts!$D$9)+MIN(C19+0,E19*(1+Debts!$C$10/12))*0+MIN(E19*(1+Debts!$C$10/12),Debts!$D$10)+MIN(C19+0,F19*(1+Debts!$C$11/12))*0+MIN(F19*(1+Debts!$C$11/12),Debts!$D$11)+MIN(C19+0,G19*(1+Debts!$C$12/12))*0+MIN(G19*(1+Debts!$C$12/12),Debts!$D$12)+MIN(C19+0,H19*(1+Debts!$C$13/12))*0+MIN(H19*(1+Debts!$C$13/12),Debts!$D$13)+MIN(C19+0,I19*(1+Debts!$C$14/12))*0+MIN(I19*(1+Debts!$C$14/12),Debts!$D$14)+MIN(C19+0,J19*(1+Debts!$C$15/12))*0+MIN(J19*(1+Debts!$C$15/12),Debts!$D$15)))),0)))</f>
        <v>0</v>
      </c>
      <c r="K20" s="22" t="n">
        <f aca="false">IF(C19&gt;0,C19*Debts!$C$8/12,0)+IF(D19&gt;0,D19*Debts!$C$9/12,0)+IF(E19&gt;0,E19*Debts!$C$10/12,0)+IF(F19&gt;0,F19*Debts!$C$11/12,0)+IF(G19&gt;0,G19*Debts!$C$12/12,0)+IF(H19&gt;0,H19*Debts!$C$13/12,0)+IF(I19&gt;0,I19*Debts!$C$14/12,0)+IF(J19&gt;0,J19*Debts!$C$15/12,0)</f>
        <v>174.064547532201</v>
      </c>
      <c r="L20" s="22" t="n">
        <f aca="false">SUM(C20:J20)</f>
        <v>27564.7661282657</v>
      </c>
    </row>
    <row r="21" customFormat="false" ht="15" hidden="false" customHeight="false" outlineLevel="0" collapsed="false">
      <c r="A21" s="19" t="n">
        <f aca="false">14</f>
        <v>14</v>
      </c>
      <c r="B21" s="27" t="n">
        <f aca="false">IF(L20&lt;=0,0,Debts!$D$16+Debts!$B$4)</f>
        <v>1200</v>
      </c>
      <c r="C21" s="22" t="n">
        <f aca="false">IF(C20&lt;=0,0,MAX(0,C20*(1+Debts!$C$8/12)-MIN(C20*(1+Debts!$C$8/12),Debts!$D$8)-IF(AND(C20&gt;0,Debts!$E$8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0</v>
      </c>
      <c r="D21" s="22" t="n">
        <f aca="false">IF(D20&lt;=0,0,MAX(0,D20*(1+Debts!$C$9/12)-MIN(D20*(1+Debts!$C$9/12),Debts!$D$9)-IF(AND(D20&gt;0,Debts!$E$9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1352.40511767205</v>
      </c>
      <c r="E21" s="22" t="n">
        <f aca="false">IF(E20&lt;=0,0,MAX(0,E20*(1+Debts!$C$10/12)-MIN(E20*(1+Debts!$C$10/12),Debts!$D$10)-IF(AND(E20&gt;0,Debts!$E$10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8280.23418223477</v>
      </c>
      <c r="F21" s="22" t="n">
        <f aca="false">IF(F20&lt;=0,0,MAX(0,F20*(1+Debts!$C$11/12)-MIN(F20*(1+Debts!$C$11/12),Debts!$D$11)-IF(AND(F20&gt;0,Debts!$E$11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16693.8914365823</v>
      </c>
      <c r="G21" s="22" t="n">
        <f aca="false">IF(G20&lt;=0,0,MAX(0,G20*(1+Debts!$C$12/12)-MIN(G20*(1+Debts!$C$12/12),Debts!$D$12)-IF(AND(G20&gt;0,Debts!$E$12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200</v>
      </c>
      <c r="H21" s="22" t="n">
        <f aca="false">IF(H20&lt;=0,0,MAX(0,H20*(1+Debts!$C$13/12)-MIN(H20*(1+Debts!$C$13/12),Debts!$D$13)-IF(AND(H20&gt;0,Debts!$E$13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0</v>
      </c>
      <c r="I21" s="22" t="n">
        <f aca="false">IF(I20&lt;=0,0,MAX(0,I20*(1+Debts!$C$14/12)-MIN(I20*(1+Debts!$C$14/12),Debts!$D$14)-IF(AND(I20&gt;0,Debts!$E$14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0</v>
      </c>
      <c r="J21" s="22" t="n">
        <f aca="false">IF(J20&lt;=0,0,MAX(0,J20*(1+Debts!$C$15/12)-MIN(J20*(1+Debts!$C$15/12),Debts!$D$15)-IF(AND(J20&gt;0,Debts!$E$15=MIN(IF(C20&gt;0,Debts!$E$8,999),IF(D20&gt;0,Debts!$E$9,999),IF(E20&gt;0,Debts!$E$10,999),IF(F20&gt;0,Debts!$E$11,999),IF(G20&gt;0,Debts!$E$12,999),IF(H20&gt;0,Debts!$E$13,999),IF(I20&gt;0,Debts!$E$14,999),IF(J20&gt;0,Debts!$E$15,999))),MAX(0,(B21-(MIN(C20+0,C20*(1+Debts!$C$8/12))*0+MIN(C20*(1+Debts!$C$8/12),Debts!$D$8)+MIN(C20+0,D20*(1+Debts!$C$9/12))*0+MIN(D20*(1+Debts!$C$9/12),Debts!$D$9)+MIN(C20+0,E20*(1+Debts!$C$10/12))*0+MIN(E20*(1+Debts!$C$10/12),Debts!$D$10)+MIN(C20+0,F20*(1+Debts!$C$11/12))*0+MIN(F20*(1+Debts!$C$11/12),Debts!$D$11)+MIN(C20+0,G20*(1+Debts!$C$12/12))*0+MIN(G20*(1+Debts!$C$12/12),Debts!$D$12)+MIN(C20+0,H20*(1+Debts!$C$13/12))*0+MIN(H20*(1+Debts!$C$13/12),Debts!$D$13)+MIN(C20+0,I20*(1+Debts!$C$14/12))*0+MIN(I20*(1+Debts!$C$14/12),Debts!$D$14)+MIN(C20+0,J20*(1+Debts!$C$15/12))*0+MIN(J20*(1+Debts!$C$15/12),Debts!$D$15)))),0)))</f>
        <v>0</v>
      </c>
      <c r="K21" s="22" t="n">
        <f aca="false">IF(C20&gt;0,C20*Debts!$C$8/12,0)+IF(D20&gt;0,D20*Debts!$C$9/12,0)+IF(E20&gt;0,E20*Debts!$C$10/12,0)+IF(F20&gt;0,F20*Debts!$C$11/12,0)+IF(G20&gt;0,G20*Debts!$C$12/12,0)+IF(H20&gt;0,H20*Debts!$C$13/12,0)+IF(I20&gt;0,I20*Debts!$C$14/12,0)+IF(J20&gt;0,J20*Debts!$C$15/12,0)</f>
        <v>161.764608223464</v>
      </c>
      <c r="L21" s="22" t="n">
        <f aca="false">SUM(C21:J21)</f>
        <v>26526.5307364892</v>
      </c>
    </row>
    <row r="22" customFormat="false" ht="15" hidden="false" customHeight="false" outlineLevel="0" collapsed="false">
      <c r="A22" s="19" t="n">
        <f aca="false">15</f>
        <v>15</v>
      </c>
      <c r="B22" s="27" t="n">
        <f aca="false">IF(L21&lt;=0,0,Debts!$D$16+Debts!$B$4)</f>
        <v>1200</v>
      </c>
      <c r="C22" s="22" t="n">
        <f aca="false">IF(C21&lt;=0,0,MAX(0,C21*(1+Debts!$C$8/12)-MIN(C21*(1+Debts!$C$8/12),Debts!$D$8)-IF(AND(C21&gt;0,Debts!$E$8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0</v>
      </c>
      <c r="D22" s="22" t="n">
        <f aca="false">IF(D21&lt;=0,0,MAX(0,D21*(1+Debts!$C$9/12)-MIN(D21*(1+Debts!$C$9/12),Debts!$D$9)-IF(AND(D21&gt;0,Debts!$E$9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747.086511069565</v>
      </c>
      <c r="E22" s="22" t="n">
        <f aca="false">IF(E21&lt;=0,0,MAX(0,E21*(1+Debts!$C$10/12)-MIN(E21*(1+Debts!$C$10/12),Debts!$D$10)-IF(AND(E21&gt;0,Debts!$E$10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8017.84552878262</v>
      </c>
      <c r="F22" s="22" t="n">
        <f aca="false">IF(F21&lt;=0,0,MAX(0,F21*(1+Debts!$C$11/12)-MIN(F21*(1+Debts!$C$11/12),Debts!$D$11)-IF(AND(F21&gt;0,Debts!$E$11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16560.4051056667</v>
      </c>
      <c r="G22" s="22" t="n">
        <f aca="false">IF(G21&lt;=0,0,MAX(0,G21*(1+Debts!$C$12/12)-MIN(G21*(1+Debts!$C$12/12),Debts!$D$12)-IF(AND(G21&gt;0,Debts!$E$12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150</v>
      </c>
      <c r="H22" s="22" t="n">
        <f aca="false">IF(H21&lt;=0,0,MAX(0,H21*(1+Debts!$C$13/12)-MIN(H21*(1+Debts!$C$13/12),Debts!$D$13)-IF(AND(H21&gt;0,Debts!$E$13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0</v>
      </c>
      <c r="I22" s="22" t="n">
        <f aca="false">IF(I21&lt;=0,0,MAX(0,I21*(1+Debts!$C$14/12)-MIN(I21*(1+Debts!$C$14/12),Debts!$D$14)-IF(AND(I21&gt;0,Debts!$E$14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0</v>
      </c>
      <c r="J22" s="22" t="n">
        <f aca="false">IF(J21&lt;=0,0,MAX(0,J21*(1+Debts!$C$15/12)-MIN(J21*(1+Debts!$C$15/12),Debts!$D$15)-IF(AND(J21&gt;0,Debts!$E$15=MIN(IF(C21&gt;0,Debts!$E$8,999),IF(D21&gt;0,Debts!$E$9,999),IF(E21&gt;0,Debts!$E$10,999),IF(F21&gt;0,Debts!$E$11,999),IF(G21&gt;0,Debts!$E$12,999),IF(H21&gt;0,Debts!$E$13,999),IF(I21&gt;0,Debts!$E$14,999),IF(J21&gt;0,Debts!$E$15,999))),MAX(0,(B22-(MIN(C21+0,C21*(1+Debts!$C$8/12))*0+MIN(C21*(1+Debts!$C$8/12),Debts!$D$8)+MIN(C21+0,D21*(1+Debts!$C$9/12))*0+MIN(D21*(1+Debts!$C$9/12),Debts!$D$9)+MIN(C21+0,E21*(1+Debts!$C$10/12))*0+MIN(E21*(1+Debts!$C$10/12),Debts!$D$10)+MIN(C21+0,F21*(1+Debts!$C$11/12))*0+MIN(F21*(1+Debts!$C$11/12),Debts!$D$11)+MIN(C21+0,G21*(1+Debts!$C$12/12))*0+MIN(G21*(1+Debts!$C$12/12),Debts!$D$12)+MIN(C21+0,H21*(1+Debts!$C$13/12))*0+MIN(H21*(1+Debts!$C$13/12),Debts!$D$13)+MIN(C21+0,I21*(1+Debts!$C$14/12))*0+MIN(I21*(1+Debts!$C$14/12),Debts!$D$14)+MIN(C21+0,J21*(1+Debts!$C$15/12))*0+MIN(J21*(1+Debts!$C$15/12),Debts!$D$15)))),0)))</f>
        <v>0</v>
      </c>
      <c r="K22" s="22" t="n">
        <f aca="false">IF(C21&gt;0,C21*Debts!$C$8/12,0)+IF(D21&gt;0,D21*Debts!$C$9/12,0)+IF(E21&gt;0,E21*Debts!$C$10/12,0)+IF(F21&gt;0,F21*Debts!$C$11/12,0)+IF(G21&gt;0,G21*Debts!$C$12/12,0)+IF(H21&gt;0,H21*Debts!$C$13/12,0)+IF(I21&gt;0,I21*Debts!$C$14/12,0)+IF(J21&gt;0,J21*Debts!$C$15/12,0)</f>
        <v>148.806409029701</v>
      </c>
      <c r="L22" s="22" t="n">
        <f aca="false">SUM(C22:J22)</f>
        <v>25475.3371455189</v>
      </c>
    </row>
    <row r="23" customFormat="false" ht="15" hidden="false" customHeight="false" outlineLevel="0" collapsed="false">
      <c r="A23" s="19" t="n">
        <f aca="false">16</f>
        <v>16</v>
      </c>
      <c r="B23" s="27" t="n">
        <f aca="false">IF(L22&lt;=0,0,Debts!$D$16+Debts!$B$4)</f>
        <v>1200</v>
      </c>
      <c r="C23" s="22" t="n">
        <f aca="false">IF(C22&lt;=0,0,MAX(0,C22*(1+Debts!$C$8/12)-MIN(C22*(1+Debts!$C$8/12),Debts!$D$8)-IF(AND(C22&gt;0,Debts!$E$8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0</v>
      </c>
      <c r="D23" s="22" t="n">
        <f aca="false">IF(D22&lt;=0,0,MAX(0,D22*(1+Debts!$C$9/12)-MIN(D22*(1+Debts!$C$9/12),Debts!$D$9)-IF(AND(D22&gt;0,Debts!$E$9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130.720839896585</v>
      </c>
      <c r="E23" s="22" t="n">
        <f aca="false">IF(E22&lt;=0,0,MAX(0,E22*(1+Debts!$C$10/12)-MIN(E22*(1+Debts!$C$10/12),Debts!$D$10)-IF(AND(E22&gt;0,Debts!$E$10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7753.94814057312</v>
      </c>
      <c r="F23" s="22" t="n">
        <f aca="false">IF(F22&lt;=0,0,MAX(0,F22*(1+Debts!$C$11/12)-MIN(F22*(1+Debts!$C$11/12),Debts!$D$11)-IF(AND(F22&gt;0,Debts!$E$11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16426.306962401</v>
      </c>
      <c r="G23" s="22" t="n">
        <f aca="false">IF(G22&lt;=0,0,MAX(0,G22*(1+Debts!$C$12/12)-MIN(G22*(1+Debts!$C$12/12),Debts!$D$12)-IF(AND(G22&gt;0,Debts!$E$12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100</v>
      </c>
      <c r="H23" s="22" t="n">
        <f aca="false">IF(H22&lt;=0,0,MAX(0,H22*(1+Debts!$C$13/12)-MIN(H22*(1+Debts!$C$13/12),Debts!$D$13)-IF(AND(H22&gt;0,Debts!$E$13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0</v>
      </c>
      <c r="I23" s="22" t="n">
        <f aca="false">IF(I22&lt;=0,0,MAX(0,I22*(1+Debts!$C$14/12)-MIN(I22*(1+Debts!$C$14/12),Debts!$D$14)-IF(AND(I22&gt;0,Debts!$E$14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0</v>
      </c>
      <c r="J23" s="22" t="n">
        <f aca="false">IF(J22&lt;=0,0,MAX(0,J22*(1+Debts!$C$15/12)-MIN(J22*(1+Debts!$C$15/12),Debts!$D$15)-IF(AND(J22&gt;0,Debts!$E$15=MIN(IF(C22&gt;0,Debts!$E$8,999),IF(D22&gt;0,Debts!$E$9,999),IF(E22&gt;0,Debts!$E$10,999),IF(F22&gt;0,Debts!$E$11,999),IF(G22&gt;0,Debts!$E$12,999),IF(H22&gt;0,Debts!$E$13,999),IF(I22&gt;0,Debts!$E$14,999),IF(J22&gt;0,Debts!$E$15,999))),MAX(0,(B23-(MIN(C22+0,C22*(1+Debts!$C$8/12))*0+MIN(C22*(1+Debts!$C$8/12),Debts!$D$8)+MIN(C22+0,D22*(1+Debts!$C$9/12))*0+MIN(D22*(1+Debts!$C$9/12),Debts!$D$9)+MIN(C22+0,E22*(1+Debts!$C$10/12))*0+MIN(E22*(1+Debts!$C$10/12),Debts!$D$10)+MIN(C22+0,F22*(1+Debts!$C$11/12))*0+MIN(F22*(1+Debts!$C$11/12),Debts!$D$11)+MIN(C22+0,G22*(1+Debts!$C$12/12))*0+MIN(G22*(1+Debts!$C$12/12),Debts!$D$12)+MIN(C22+0,H22*(1+Debts!$C$13/12))*0+MIN(H22*(1+Debts!$C$13/12),Debts!$D$13)+MIN(C22+0,I22*(1+Debts!$C$14/12))*0+MIN(I22*(1+Debts!$C$14/12),Debts!$D$14)+MIN(C22+0,J22*(1+Debts!$C$15/12))*0+MIN(J22*(1+Debts!$C$15/12),Debts!$D$15)))),0)))</f>
        <v>0</v>
      </c>
      <c r="K23" s="22" t="n">
        <f aca="false">IF(C22&gt;0,C22*Debts!$C$8/12,0)+IF(D22&gt;0,D22*Debts!$C$9/12,0)+IF(E22&gt;0,E22*Debts!$C$10/12,0)+IF(F22&gt;0,F22*Debts!$C$11/12,0)+IF(G22&gt;0,G22*Debts!$C$12/12,0)+IF(H22&gt;0,H22*Debts!$C$13/12,0)+IF(I22&gt;0,I22*Debts!$C$14/12,0)+IF(J22&gt;0,J22*Debts!$C$15/12,0)</f>
        <v>135.638797351825</v>
      </c>
      <c r="L23" s="22" t="n">
        <f aca="false">SUM(C23:J23)</f>
        <v>24410.9759428707</v>
      </c>
    </row>
    <row r="24" customFormat="false" ht="15" hidden="false" customHeight="false" outlineLevel="0" collapsed="false">
      <c r="A24" s="19" t="n">
        <f aca="false">17</f>
        <v>17</v>
      </c>
      <c r="B24" s="27" t="n">
        <f aca="false">IF(L23&lt;=0,0,Debts!$D$16+Debts!$B$4)</f>
        <v>1200</v>
      </c>
      <c r="C24" s="22" t="n">
        <f aca="false">IF(C23&lt;=0,0,MAX(0,C23*(1+Debts!$C$8/12)-MIN(C23*(1+Debts!$C$8/12),Debts!$D$8)-IF(AND(C23&gt;0,Debts!$E$8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0</v>
      </c>
      <c r="D24" s="22" t="n">
        <f aca="false">IF(D23&lt;=0,0,MAX(0,D23*(1+Debts!$C$9/12)-MIN(D23*(1+Debts!$C$9/12),Debts!$D$9)-IF(AND(D23&gt;0,Debts!$E$9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0</v>
      </c>
      <c r="E24" s="22" t="n">
        <f aca="false">IF(E23&lt;=0,0,MAX(0,E23*(1+Debts!$C$10/12)-MIN(E23*(1+Debts!$C$10/12),Debts!$D$10)-IF(AND(E23&gt;0,Debts!$E$10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7488.53334238141</v>
      </c>
      <c r="F24" s="22" t="n">
        <f aca="false">IF(F23&lt;=0,0,MAX(0,F23*(1+Debts!$C$11/12)-MIN(F23*(1+Debts!$C$11/12),Debts!$D$11)-IF(AND(F23&gt;0,Debts!$E$11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16291.5942026453</v>
      </c>
      <c r="G24" s="22" t="n">
        <f aca="false">IF(G23&lt;=0,0,MAX(0,G23*(1+Debts!$C$12/12)-MIN(G23*(1+Debts!$C$12/12),Debts!$D$12)-IF(AND(G23&gt;0,Debts!$E$12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50</v>
      </c>
      <c r="H24" s="22" t="n">
        <f aca="false">IF(H23&lt;=0,0,MAX(0,H23*(1+Debts!$C$13/12)-MIN(H23*(1+Debts!$C$13/12),Debts!$D$13)-IF(AND(H23&gt;0,Debts!$E$13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0</v>
      </c>
      <c r="I24" s="22" t="n">
        <f aca="false">IF(I23&lt;=0,0,MAX(0,I23*(1+Debts!$C$14/12)-MIN(I23*(1+Debts!$C$14/12),Debts!$D$14)-IF(AND(I23&gt;0,Debts!$E$14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0</v>
      </c>
      <c r="J24" s="22" t="n">
        <f aca="false">IF(J23&lt;=0,0,MAX(0,J23*(1+Debts!$C$15/12)-MIN(J23*(1+Debts!$C$15/12),Debts!$D$15)-IF(AND(J23&gt;0,Debts!$E$15=MIN(IF(C23&gt;0,Debts!$E$8,999),IF(D23&gt;0,Debts!$E$9,999),IF(E23&gt;0,Debts!$E$10,999),IF(F23&gt;0,Debts!$E$11,999),IF(G23&gt;0,Debts!$E$12,999),IF(H23&gt;0,Debts!$E$13,999),IF(I23&gt;0,Debts!$E$14,999),IF(J23&gt;0,Debts!$E$15,999))),MAX(0,(B24-(MIN(C23+0,C23*(1+Debts!$C$8/12))*0+MIN(C23*(1+Debts!$C$8/12),Debts!$D$8)+MIN(C23+0,D23*(1+Debts!$C$9/12))*0+MIN(D23*(1+Debts!$C$9/12),Debts!$D$9)+MIN(C23+0,E23*(1+Debts!$C$10/12))*0+MIN(E23*(1+Debts!$C$10/12),Debts!$D$10)+MIN(C23+0,F23*(1+Debts!$C$11/12))*0+MIN(F23*(1+Debts!$C$11/12),Debts!$D$11)+MIN(C23+0,G23*(1+Debts!$C$12/12))*0+MIN(G23*(1+Debts!$C$12/12),Debts!$D$12)+MIN(C23+0,H23*(1+Debts!$C$13/12))*0+MIN(H23*(1+Debts!$C$13/12),Debts!$D$13)+MIN(C23+0,I23*(1+Debts!$C$14/12))*0+MIN(I23*(1+Debts!$C$14/12),Debts!$D$14)+MIN(C23+0,J23*(1+Debts!$C$15/12))*0+MIN(J23*(1+Debts!$C$15/12),Debts!$D$15)))),0)))</f>
        <v>0</v>
      </c>
      <c r="K24" s="22" t="n">
        <f aca="false">IF(C23&gt;0,C23*Debts!$C$8/12,0)+IF(D23&gt;0,D23*Debts!$C$9/12,0)+IF(E23&gt;0,E23*Debts!$C$10/12,0)+IF(F23&gt;0,F23*Debts!$C$11/12,0)+IF(G23&gt;0,G23*Debts!$C$12/12,0)+IF(H23&gt;0,H23*Debts!$C$13/12,0)+IF(I23&gt;0,I23*Debts!$C$14/12,0)+IF(J23&gt;0,J23*Debts!$C$15/12,0)</f>
        <v>122.258097380746</v>
      </c>
      <c r="L24" s="22" t="n">
        <f aca="false">SUM(C24:J24)</f>
        <v>23830.1275450267</v>
      </c>
    </row>
    <row r="25" customFormat="false" ht="15" hidden="false" customHeight="false" outlineLevel="0" collapsed="false">
      <c r="A25" s="19" t="n">
        <f aca="false">18</f>
        <v>18</v>
      </c>
      <c r="B25" s="27" t="n">
        <f aca="false">IF(L24&lt;=0,0,Debts!$D$16+Debts!$B$4)</f>
        <v>1200</v>
      </c>
      <c r="C25" s="22" t="n">
        <f aca="false">IF(C24&lt;=0,0,MAX(0,C24*(1+Debts!$C$8/12)-MIN(C24*(1+Debts!$C$8/12),Debts!$D$8)-IF(AND(C24&gt;0,Debts!$E$8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0</v>
      </c>
      <c r="D25" s="22" t="n">
        <f aca="false">IF(D24&lt;=0,0,MAX(0,D24*(1+Debts!$C$9/12)-MIN(D24*(1+Debts!$C$9/12),Debts!$D$9)-IF(AND(D24&gt;0,Debts!$E$9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0</v>
      </c>
      <c r="E25" s="22" t="n">
        <f aca="false">IF(E24&lt;=0,0,MAX(0,E24*(1+Debts!$C$10/12)-MIN(E24*(1+Debts!$C$10/12),Debts!$D$10)-IF(AND(E24&gt;0,Debts!$E$10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6591.5924091001</v>
      </c>
      <c r="F25" s="22" t="n">
        <f aca="false">IF(F24&lt;=0,0,MAX(0,F24*(1+Debts!$C$11/12)-MIN(F24*(1+Debts!$C$11/12),Debts!$D$11)-IF(AND(F24&gt;0,Debts!$E$11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16156.2640094074</v>
      </c>
      <c r="G25" s="22" t="n">
        <f aca="false">IF(G24&lt;=0,0,MAX(0,G24*(1+Debts!$C$12/12)-MIN(G24*(1+Debts!$C$12/12),Debts!$D$12)-IF(AND(G24&gt;0,Debts!$E$12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0</v>
      </c>
      <c r="H25" s="22" t="n">
        <f aca="false">IF(H24&lt;=0,0,MAX(0,H24*(1+Debts!$C$13/12)-MIN(H24*(1+Debts!$C$13/12),Debts!$D$13)-IF(AND(H24&gt;0,Debts!$E$13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0</v>
      </c>
      <c r="I25" s="22" t="n">
        <f aca="false">IF(I24&lt;=0,0,MAX(0,I24*(1+Debts!$C$14/12)-MIN(I24*(1+Debts!$C$14/12),Debts!$D$14)-IF(AND(I24&gt;0,Debts!$E$14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0</v>
      </c>
      <c r="J25" s="22" t="n">
        <f aca="false">IF(J24&lt;=0,0,MAX(0,J24*(1+Debts!$C$15/12)-MIN(J24*(1+Debts!$C$15/12),Debts!$D$15)-IF(AND(J24&gt;0,Debts!$E$15=MIN(IF(C24&gt;0,Debts!$E$8,999),IF(D24&gt;0,Debts!$E$9,999),IF(E24&gt;0,Debts!$E$10,999),IF(F24&gt;0,Debts!$E$11,999),IF(G24&gt;0,Debts!$E$12,999),IF(H24&gt;0,Debts!$E$13,999),IF(I24&gt;0,Debts!$E$14,999),IF(J24&gt;0,Debts!$E$15,999))),MAX(0,(B25-(MIN(C24+0,C24*(1+Debts!$C$8/12))*0+MIN(C24*(1+Debts!$C$8/12),Debts!$D$8)+MIN(C24+0,D24*(1+Debts!$C$9/12))*0+MIN(D24*(1+Debts!$C$9/12),Debts!$D$9)+MIN(C24+0,E24*(1+Debts!$C$10/12))*0+MIN(E24*(1+Debts!$C$10/12),Debts!$D$10)+MIN(C24+0,F24*(1+Debts!$C$11/12))*0+MIN(F24*(1+Debts!$C$11/12),Debts!$D$11)+MIN(C24+0,G24*(1+Debts!$C$12/12))*0+MIN(G24*(1+Debts!$C$12/12),Debts!$D$12)+MIN(C24+0,H24*(1+Debts!$C$13/12))*0+MIN(H24*(1+Debts!$C$13/12),Debts!$D$13)+MIN(C24+0,I24*(1+Debts!$C$14/12))*0+MIN(I24*(1+Debts!$C$14/12),Debts!$D$14)+MIN(C24+0,J24*(1+Debts!$C$15/12))*0+MIN(J24*(1+Debts!$C$15/12),Debts!$D$15)))),0)))</f>
        <v>0</v>
      </c>
      <c r="K25" s="22" t="n">
        <f aca="false">IF(C24&gt;0,C24*Debts!$C$8/12,0)+IF(D24&gt;0,D24*Debts!$C$9/12,0)+IF(E24&gt;0,E24*Debts!$C$10/12,0)+IF(F24&gt;0,F24*Debts!$C$11/12,0)+IF(G24&gt;0,G24*Debts!$C$12/12,0)+IF(H24&gt;0,H24*Debts!$C$13/12,0)+IF(I24&gt;0,I24*Debts!$C$14/12,0)+IF(J24&gt;0,J24*Debts!$C$15/12,0)</f>
        <v>117.728873480817</v>
      </c>
      <c r="L25" s="22" t="n">
        <f aca="false">SUM(C25:J25)</f>
        <v>22747.8564185075</v>
      </c>
    </row>
    <row r="26" customFormat="false" ht="15" hidden="false" customHeight="false" outlineLevel="0" collapsed="false">
      <c r="A26" s="19" t="n">
        <f aca="false">19</f>
        <v>19</v>
      </c>
      <c r="B26" s="27" t="n">
        <f aca="false">IF(L25&lt;=0,0,Debts!$D$16+Debts!$B$4)</f>
        <v>1200</v>
      </c>
      <c r="C26" s="22" t="n">
        <f aca="false">IF(C25&lt;=0,0,MAX(0,C25*(1+Debts!$C$8/12)-MIN(C25*(1+Debts!$C$8/12),Debts!$D$8)-IF(AND(C25&gt;0,Debts!$E$8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0</v>
      </c>
      <c r="D26" s="22" t="n">
        <f aca="false">IF(D25&lt;=0,0,MAX(0,D25*(1+Debts!$C$9/12)-MIN(D25*(1+Debts!$C$9/12),Debts!$D$9)-IF(AND(D25&gt;0,Debts!$E$9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0</v>
      </c>
      <c r="E26" s="22" t="n">
        <f aca="false">IF(E25&lt;=0,0,MAX(0,E25*(1+Debts!$C$10/12)-MIN(E25*(1+Debts!$C$10/12),Debts!$D$10)-IF(AND(E25&gt;0,Debts!$E$10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5639.49406545243</v>
      </c>
      <c r="F26" s="22" t="n">
        <f aca="false">IF(F25&lt;=0,0,MAX(0,F25*(1+Debts!$C$11/12)-MIN(F25*(1+Debts!$C$11/12),Debts!$D$11)-IF(AND(F25&gt;0,Debts!$E$11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16020.3135527839</v>
      </c>
      <c r="G26" s="22" t="n">
        <f aca="false">IF(G25&lt;=0,0,MAX(0,G25*(1+Debts!$C$12/12)-MIN(G25*(1+Debts!$C$12/12),Debts!$D$12)-IF(AND(G25&gt;0,Debts!$E$12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0</v>
      </c>
      <c r="H26" s="22" t="n">
        <f aca="false">IF(H25&lt;=0,0,MAX(0,H25*(1+Debts!$C$13/12)-MIN(H25*(1+Debts!$C$13/12),Debts!$D$13)-IF(AND(H25&gt;0,Debts!$E$13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0</v>
      </c>
      <c r="I26" s="22" t="n">
        <f aca="false">IF(I25&lt;=0,0,MAX(0,I25*(1+Debts!$C$14/12)-MIN(I25*(1+Debts!$C$14/12),Debts!$D$14)-IF(AND(I25&gt;0,Debts!$E$14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0</v>
      </c>
      <c r="J26" s="22" t="n">
        <f aca="false">IF(J25&lt;=0,0,MAX(0,J25*(1+Debts!$C$15/12)-MIN(J25*(1+Debts!$C$15/12),Debts!$D$15)-IF(AND(J25&gt;0,Debts!$E$15=MIN(IF(C25&gt;0,Debts!$E$8,999),IF(D25&gt;0,Debts!$E$9,999),IF(E25&gt;0,Debts!$E$10,999),IF(F25&gt;0,Debts!$E$11,999),IF(G25&gt;0,Debts!$E$12,999),IF(H25&gt;0,Debts!$E$13,999),IF(I25&gt;0,Debts!$E$14,999),IF(J25&gt;0,Debts!$E$15,999))),MAX(0,(B26-(MIN(C25+0,C25*(1+Debts!$C$8/12))*0+MIN(C25*(1+Debts!$C$8/12),Debts!$D$8)+MIN(C25+0,D25*(1+Debts!$C$9/12))*0+MIN(D25*(1+Debts!$C$9/12),Debts!$D$9)+MIN(C25+0,E25*(1+Debts!$C$10/12))*0+MIN(E25*(1+Debts!$C$10/12),Debts!$D$10)+MIN(C25+0,F25*(1+Debts!$C$11/12))*0+MIN(F25*(1+Debts!$C$11/12),Debts!$D$11)+MIN(C25+0,G25*(1+Debts!$C$12/12))*0+MIN(G25*(1+Debts!$C$12/12),Debts!$D$12)+MIN(C25+0,H25*(1+Debts!$C$13/12))*0+MIN(H25*(1+Debts!$C$13/12),Debts!$D$13)+MIN(C25+0,I25*(1+Debts!$C$14/12))*0+MIN(I25*(1+Debts!$C$14/12),Debts!$D$14)+MIN(C25+0,J25*(1+Debts!$C$15/12))*0+MIN(J25*(1+Debts!$C$15/12),Debts!$D$15)))),0)))</f>
        <v>0</v>
      </c>
      <c r="K26" s="22" t="n">
        <f aca="false">IF(C25&gt;0,C25*Debts!$C$8/12,0)+IF(D25&gt;0,D25*Debts!$C$9/12,0)+IF(E25&gt;0,E25*Debts!$C$10/12,0)+IF(F25&gt;0,F25*Debts!$C$11/12,0)+IF(G25&gt;0,G25*Debts!$C$12/12,0)+IF(H25&gt;0,H25*Debts!$C$13/12,0)+IF(I25&gt;0,I25*Debts!$C$14/12,0)+IF(J25&gt;0,J25*Debts!$C$15/12,0)</f>
        <v>111.951199728776</v>
      </c>
      <c r="L26" s="22" t="n">
        <f aca="false">SUM(C26:J26)</f>
        <v>21659.8076182363</v>
      </c>
    </row>
    <row r="27" customFormat="false" ht="15" hidden="false" customHeight="false" outlineLevel="0" collapsed="false">
      <c r="A27" s="19" t="n">
        <f aca="false">20</f>
        <v>20</v>
      </c>
      <c r="B27" s="27" t="n">
        <f aca="false">IF(L26&lt;=0,0,Debts!$D$16+Debts!$B$4)</f>
        <v>1200</v>
      </c>
      <c r="C27" s="22" t="n">
        <f aca="false">IF(C26&lt;=0,0,MAX(0,C26*(1+Debts!$C$8/12)-MIN(C26*(1+Debts!$C$8/12),Debts!$D$8)-IF(AND(C26&gt;0,Debts!$E$8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0</v>
      </c>
      <c r="D27" s="22" t="n">
        <f aca="false">IF(D26&lt;=0,0,MAX(0,D26*(1+Debts!$C$9/12)-MIN(D26*(1+Debts!$C$9/12),Debts!$D$9)-IF(AND(D26&gt;0,Debts!$E$9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0</v>
      </c>
      <c r="E27" s="22" t="n">
        <f aca="false">IF(E26&lt;=0,0,MAX(0,E26*(1+Debts!$C$10/12)-MIN(E26*(1+Debts!$C$10/12),Debts!$D$10)-IF(AND(E26&gt;0,Debts!$E$10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4681.92115632878</v>
      </c>
      <c r="F27" s="22" t="n">
        <f aca="false">IF(F26&lt;=0,0,MAX(0,F26*(1+Debts!$C$11/12)-MIN(F26*(1+Debts!$C$11/12),Debts!$D$11)-IF(AND(F26&gt;0,Debts!$E$11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15883.7399899008</v>
      </c>
      <c r="G27" s="22" t="n">
        <f aca="false">IF(G26&lt;=0,0,MAX(0,G26*(1+Debts!$C$12/12)-MIN(G26*(1+Debts!$C$12/12),Debts!$D$12)-IF(AND(G26&gt;0,Debts!$E$12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0</v>
      </c>
      <c r="H27" s="22" t="n">
        <f aca="false">IF(H26&lt;=0,0,MAX(0,H26*(1+Debts!$C$13/12)-MIN(H26*(1+Debts!$C$13/12),Debts!$D$13)-IF(AND(H26&gt;0,Debts!$E$13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0</v>
      </c>
      <c r="I27" s="22" t="n">
        <f aca="false">IF(I26&lt;=0,0,MAX(0,I26*(1+Debts!$C$14/12)-MIN(I26*(1+Debts!$C$14/12),Debts!$D$14)-IF(AND(I26&gt;0,Debts!$E$14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0</v>
      </c>
      <c r="J27" s="22" t="n">
        <f aca="false">IF(J26&lt;=0,0,MAX(0,J26*(1+Debts!$C$15/12)-MIN(J26*(1+Debts!$C$15/12),Debts!$D$15)-IF(AND(J26&gt;0,Debts!$E$15=MIN(IF(C26&gt;0,Debts!$E$8,999),IF(D26&gt;0,Debts!$E$9,999),IF(E26&gt;0,Debts!$E$10,999),IF(F26&gt;0,Debts!$E$11,999),IF(G26&gt;0,Debts!$E$12,999),IF(H26&gt;0,Debts!$E$13,999),IF(I26&gt;0,Debts!$E$14,999),IF(J26&gt;0,Debts!$E$15,999))),MAX(0,(B27-(MIN(C26+0,C26*(1+Debts!$C$8/12))*0+MIN(C26*(1+Debts!$C$8/12),Debts!$D$8)+MIN(C26+0,D26*(1+Debts!$C$9/12))*0+MIN(D26*(1+Debts!$C$9/12),Debts!$D$9)+MIN(C26+0,E26*(1+Debts!$C$10/12))*0+MIN(E26*(1+Debts!$C$10/12),Debts!$D$10)+MIN(C26+0,F26*(1+Debts!$C$11/12))*0+MIN(F26*(1+Debts!$C$11/12),Debts!$D$11)+MIN(C26+0,G26*(1+Debts!$C$12/12))*0+MIN(G26*(1+Debts!$C$12/12),Debts!$D$12)+MIN(C26+0,H26*(1+Debts!$C$13/12))*0+MIN(H26*(1+Debts!$C$13/12),Debts!$D$13)+MIN(C26+0,I26*(1+Debts!$C$14/12))*0+MIN(I26*(1+Debts!$C$14/12),Debts!$D$14)+MIN(C26+0,J26*(1+Debts!$C$15/12))*0+MIN(J26*(1+Debts!$C$15/12),Debts!$D$15)))),0)))</f>
        <v>0</v>
      </c>
      <c r="K27" s="22" t="n">
        <f aca="false">IF(C26&gt;0,C26*Debts!$C$8/12,0)+IF(D26&gt;0,D26*Debts!$C$9/12,0)+IF(E26&gt;0,E26*Debts!$C$10/12,0)+IF(F26&gt;0,F26*Debts!$C$11/12,0)+IF(G26&gt;0,G26*Debts!$C$12/12,0)+IF(H26&gt;0,H26*Debts!$C$13/12,0)+IF(I26&gt;0,I26*Debts!$C$14/12,0)+IF(J26&gt;0,J26*Debts!$C$15/12,0)</f>
        <v>105.853527993278</v>
      </c>
      <c r="L27" s="22" t="n">
        <f aca="false">SUM(C27:J27)</f>
        <v>20565.6611462296</v>
      </c>
    </row>
    <row r="28" customFormat="false" ht="15" hidden="false" customHeight="false" outlineLevel="0" collapsed="false">
      <c r="A28" s="19" t="n">
        <f aca="false">21</f>
        <v>21</v>
      </c>
      <c r="B28" s="27" t="n">
        <f aca="false">IF(L27&lt;=0,0,Debts!$D$16+Debts!$B$4)</f>
        <v>1200</v>
      </c>
      <c r="C28" s="22" t="n">
        <f aca="false">IF(C27&lt;=0,0,MAX(0,C27*(1+Debts!$C$8/12)-MIN(C27*(1+Debts!$C$8/12),Debts!$D$8)-IF(AND(C27&gt;0,Debts!$E$8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0</v>
      </c>
      <c r="D28" s="22" t="n">
        <f aca="false">IF(D27&lt;=0,0,MAX(0,D27*(1+Debts!$C$9/12)-MIN(D27*(1+Debts!$C$9/12),Debts!$D$9)-IF(AND(D27&gt;0,Debts!$E$9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0</v>
      </c>
      <c r="E28" s="22" t="n">
        <f aca="false">IF(E27&lt;=0,0,MAX(0,E27*(1+Debts!$C$10/12)-MIN(E27*(1+Debts!$C$10/12),Debts!$D$10)-IF(AND(E27&gt;0,Debts!$E$10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3718.84220297767</v>
      </c>
      <c r="F28" s="22" t="n">
        <f aca="false">IF(F27&lt;=0,0,MAX(0,F27*(1+Debts!$C$11/12)-MIN(F27*(1+Debts!$C$11/12),Debts!$D$11)-IF(AND(F27&gt;0,Debts!$E$11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15746.5404648545</v>
      </c>
      <c r="G28" s="22" t="n">
        <f aca="false">IF(G27&lt;=0,0,MAX(0,G27*(1+Debts!$C$12/12)-MIN(G27*(1+Debts!$C$12/12),Debts!$D$12)-IF(AND(G27&gt;0,Debts!$E$12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0</v>
      </c>
      <c r="H28" s="22" t="n">
        <f aca="false">IF(H27&lt;=0,0,MAX(0,H27*(1+Debts!$C$13/12)-MIN(H27*(1+Debts!$C$13/12),Debts!$D$13)-IF(AND(H27&gt;0,Debts!$E$13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0</v>
      </c>
      <c r="I28" s="22" t="n">
        <f aca="false">IF(I27&lt;=0,0,MAX(0,I27*(1+Debts!$C$14/12)-MIN(I27*(1+Debts!$C$14/12),Debts!$D$14)-IF(AND(I27&gt;0,Debts!$E$14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0</v>
      </c>
      <c r="J28" s="22" t="n">
        <f aca="false">IF(J27&lt;=0,0,MAX(0,J27*(1+Debts!$C$15/12)-MIN(J27*(1+Debts!$C$15/12),Debts!$D$15)-IF(AND(J27&gt;0,Debts!$E$15=MIN(IF(C27&gt;0,Debts!$E$8,999),IF(D27&gt;0,Debts!$E$9,999),IF(E27&gt;0,Debts!$E$10,999),IF(F27&gt;0,Debts!$E$11,999),IF(G27&gt;0,Debts!$E$12,999),IF(H27&gt;0,Debts!$E$13,999),IF(I27&gt;0,Debts!$E$14,999),IF(J27&gt;0,Debts!$E$15,999))),MAX(0,(B28-(MIN(C27+0,C27*(1+Debts!$C$8/12))*0+MIN(C27*(1+Debts!$C$8/12),Debts!$D$8)+MIN(C27+0,D27*(1+Debts!$C$9/12))*0+MIN(D27*(1+Debts!$C$9/12),Debts!$D$9)+MIN(C27+0,E27*(1+Debts!$C$10/12))*0+MIN(E27*(1+Debts!$C$10/12),Debts!$D$10)+MIN(C27+0,F27*(1+Debts!$C$11/12))*0+MIN(F27*(1+Debts!$C$11/12),Debts!$D$11)+MIN(C27+0,G27*(1+Debts!$C$12/12))*0+MIN(G27*(1+Debts!$C$12/12),Debts!$D$12)+MIN(C27+0,H27*(1+Debts!$C$13/12))*0+MIN(H27*(1+Debts!$C$13/12),Debts!$D$13)+MIN(C27+0,I27*(1+Debts!$C$14/12))*0+MIN(I27*(1+Debts!$C$14/12),Debts!$D$14)+MIN(C27+0,J27*(1+Debts!$C$15/12))*0+MIN(J27*(1+Debts!$C$15/12),Debts!$D$15)))),0)))</f>
        <v>0</v>
      </c>
      <c r="K28" s="22" t="n">
        <f aca="false">IF(C27&gt;0,C27*Debts!$C$8/12,0)+IF(D27&gt;0,D27*Debts!$C$9/12,0)+IF(E27&gt;0,E27*Debts!$C$10/12,0)+IF(F27&gt;0,F27*Debts!$C$11/12,0)+IF(G27&gt;0,G27*Debts!$C$12/12,0)+IF(H27&gt;0,H27*Debts!$C$13/12,0)+IF(I27&gt;0,I27*Debts!$C$14/12,0)+IF(J27&gt;0,J27*Debts!$C$15/12,0)</f>
        <v>99.7215216026026</v>
      </c>
      <c r="L28" s="22" t="n">
        <f aca="false">SUM(C28:J28)</f>
        <v>19465.3826678322</v>
      </c>
    </row>
    <row r="29" customFormat="false" ht="15" hidden="false" customHeight="false" outlineLevel="0" collapsed="false">
      <c r="A29" s="19" t="n">
        <f aca="false">22</f>
        <v>22</v>
      </c>
      <c r="B29" s="27" t="n">
        <f aca="false">IF(L28&lt;=0,0,Debts!$D$16+Debts!$B$4)</f>
        <v>1200</v>
      </c>
      <c r="C29" s="22" t="n">
        <f aca="false">IF(C28&lt;=0,0,MAX(0,C28*(1+Debts!$C$8/12)-MIN(C28*(1+Debts!$C$8/12),Debts!$D$8)-IF(AND(C28&gt;0,Debts!$E$8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0</v>
      </c>
      <c r="D29" s="22" t="n">
        <f aca="false">IF(D28&lt;=0,0,MAX(0,D28*(1+Debts!$C$9/12)-MIN(D28*(1+Debts!$C$9/12),Debts!$D$9)-IF(AND(D28&gt;0,Debts!$E$9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0</v>
      </c>
      <c r="E29" s="22" t="n">
        <f aca="false">IF(E28&lt;=0,0,MAX(0,E28*(1+Debts!$C$10/12)-MIN(E28*(1+Debts!$C$10/12),Debts!$D$10)-IF(AND(E28&gt;0,Debts!$E$10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2750.22554564479</v>
      </c>
      <c r="F29" s="22" t="n">
        <f aca="false">IF(F28&lt;=0,0,MAX(0,F28*(1+Debts!$C$11/12)-MIN(F28*(1+Debts!$C$11/12),Debts!$D$11)-IF(AND(F28&gt;0,Debts!$E$11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15608.7121086518</v>
      </c>
      <c r="G29" s="22" t="n">
        <f aca="false">IF(G28&lt;=0,0,MAX(0,G28*(1+Debts!$C$12/12)-MIN(G28*(1+Debts!$C$12/12),Debts!$D$12)-IF(AND(G28&gt;0,Debts!$E$12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0</v>
      </c>
      <c r="H29" s="22" t="n">
        <f aca="false">IF(H28&lt;=0,0,MAX(0,H28*(1+Debts!$C$13/12)-MIN(H28*(1+Debts!$C$13/12),Debts!$D$13)-IF(AND(H28&gt;0,Debts!$E$13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0</v>
      </c>
      <c r="I29" s="22" t="n">
        <f aca="false">IF(I28&lt;=0,0,MAX(0,I28*(1+Debts!$C$14/12)-MIN(I28*(1+Debts!$C$14/12),Debts!$D$14)-IF(AND(I28&gt;0,Debts!$E$14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0</v>
      </c>
      <c r="J29" s="22" t="n">
        <f aca="false">IF(J28&lt;=0,0,MAX(0,J28*(1+Debts!$C$15/12)-MIN(J28*(1+Debts!$C$15/12),Debts!$D$15)-IF(AND(J28&gt;0,Debts!$E$15=MIN(IF(C28&gt;0,Debts!$E$8,999),IF(D28&gt;0,Debts!$E$9,999),IF(E28&gt;0,Debts!$E$10,999),IF(F28&gt;0,Debts!$E$11,999),IF(G28&gt;0,Debts!$E$12,999),IF(H28&gt;0,Debts!$E$13,999),IF(I28&gt;0,Debts!$E$14,999),IF(J28&gt;0,Debts!$E$15,999))),MAX(0,(B29-(MIN(C28+0,C28*(1+Debts!$C$8/12))*0+MIN(C28*(1+Debts!$C$8/12),Debts!$D$8)+MIN(C28+0,D28*(1+Debts!$C$9/12))*0+MIN(D28*(1+Debts!$C$9/12),Debts!$D$9)+MIN(C28+0,E28*(1+Debts!$C$10/12))*0+MIN(E28*(1+Debts!$C$10/12),Debts!$D$10)+MIN(C28+0,F28*(1+Debts!$C$11/12))*0+MIN(F28*(1+Debts!$C$11/12),Debts!$D$11)+MIN(C28+0,G28*(1+Debts!$C$12/12))*0+MIN(G28*(1+Debts!$C$12/12),Debts!$D$12)+MIN(C28+0,H28*(1+Debts!$C$13/12))*0+MIN(H28*(1+Debts!$C$13/12),Debts!$D$13)+MIN(C28+0,I28*(1+Debts!$C$14/12))*0+MIN(I28*(1+Debts!$C$14/12),Debts!$D$14)+MIN(C28+0,J28*(1+Debts!$C$15/12))*0+MIN(J28*(1+Debts!$C$15/12),Debts!$D$15)))),0)))</f>
        <v>0</v>
      </c>
      <c r="K29" s="22" t="n">
        <f aca="false">IF(C28&gt;0,C28*Debts!$C$8/12,0)+IF(D28&gt;0,D28*Debts!$C$9/12,0)+IF(E28&gt;0,E28*Debts!$C$10/12,0)+IF(F28&gt;0,F28*Debts!$C$11/12,0)+IF(G28&gt;0,G28*Debts!$C$12/12,0)+IF(H28&gt;0,H28*Debts!$C$13/12,0)+IF(I28&gt;0,I28*Debts!$C$14/12,0)+IF(J28&gt;0,J28*Debts!$C$15/12,0)</f>
        <v>93.5549864643716</v>
      </c>
      <c r="L29" s="22" t="n">
        <f aca="false">SUM(C29:J29)</f>
        <v>18358.9376542966</v>
      </c>
    </row>
    <row r="30" customFormat="false" ht="15" hidden="false" customHeight="false" outlineLevel="0" collapsed="false">
      <c r="A30" s="19" t="n">
        <f aca="false">23</f>
        <v>23</v>
      </c>
      <c r="B30" s="27" t="n">
        <f aca="false">IF(L29&lt;=0,0,Debts!$D$16+Debts!$B$4)</f>
        <v>1200</v>
      </c>
      <c r="C30" s="22" t="n">
        <f aca="false">IF(C29&lt;=0,0,MAX(0,C29*(1+Debts!$C$8/12)-MIN(C29*(1+Debts!$C$8/12),Debts!$D$8)-IF(AND(C29&gt;0,Debts!$E$8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0</v>
      </c>
      <c r="D30" s="22" t="n">
        <f aca="false">IF(D29&lt;=0,0,MAX(0,D29*(1+Debts!$C$9/12)-MIN(D29*(1+Debts!$C$9/12),Debts!$D$9)-IF(AND(D29&gt;0,Debts!$E$9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0</v>
      </c>
      <c r="E30" s="22" t="n">
        <f aca="false">IF(E29&lt;=0,0,MAX(0,E29*(1+Debts!$C$10/12)-MIN(E29*(1+Debts!$C$10/12),Debts!$D$10)-IF(AND(E29&gt;0,Debts!$E$10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1776.03934253225</v>
      </c>
      <c r="F30" s="22" t="n">
        <f aca="false">IF(F29&lt;=0,0,MAX(0,F29*(1+Debts!$C$11/12)-MIN(F29*(1+Debts!$C$11/12),Debts!$D$11)-IF(AND(F29&gt;0,Debts!$E$11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15470.2520391498</v>
      </c>
      <c r="G30" s="22" t="n">
        <f aca="false">IF(G29&lt;=0,0,MAX(0,G29*(1+Debts!$C$12/12)-MIN(G29*(1+Debts!$C$12/12),Debts!$D$12)-IF(AND(G29&gt;0,Debts!$E$12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0</v>
      </c>
      <c r="H30" s="22" t="n">
        <f aca="false">IF(H29&lt;=0,0,MAX(0,H29*(1+Debts!$C$13/12)-MIN(H29*(1+Debts!$C$13/12),Debts!$D$13)-IF(AND(H29&gt;0,Debts!$E$13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0</v>
      </c>
      <c r="I30" s="22" t="n">
        <f aca="false">IF(I29&lt;=0,0,MAX(0,I29*(1+Debts!$C$14/12)-MIN(I29*(1+Debts!$C$14/12),Debts!$D$14)-IF(AND(I29&gt;0,Debts!$E$14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0</v>
      </c>
      <c r="J30" s="22" t="n">
        <f aca="false">IF(J29&lt;=0,0,MAX(0,J29*(1+Debts!$C$15/12)-MIN(J29*(1+Debts!$C$15/12),Debts!$D$15)-IF(AND(J29&gt;0,Debts!$E$15=MIN(IF(C29&gt;0,Debts!$E$8,999),IF(D29&gt;0,Debts!$E$9,999),IF(E29&gt;0,Debts!$E$10,999),IF(F29&gt;0,Debts!$E$11,999),IF(G29&gt;0,Debts!$E$12,999),IF(H29&gt;0,Debts!$E$13,999),IF(I29&gt;0,Debts!$E$14,999),IF(J29&gt;0,Debts!$E$15,999))),MAX(0,(B30-(MIN(C29+0,C29*(1+Debts!$C$8/12))*0+MIN(C29*(1+Debts!$C$8/12),Debts!$D$8)+MIN(C29+0,D29*(1+Debts!$C$9/12))*0+MIN(D29*(1+Debts!$C$9/12),Debts!$D$9)+MIN(C29+0,E29*(1+Debts!$C$10/12))*0+MIN(E29*(1+Debts!$C$10/12),Debts!$D$10)+MIN(C29+0,F29*(1+Debts!$C$11/12))*0+MIN(F29*(1+Debts!$C$11/12),Debts!$D$11)+MIN(C29+0,G29*(1+Debts!$C$12/12))*0+MIN(G29*(1+Debts!$C$12/12),Debts!$D$12)+MIN(C29+0,H29*(1+Debts!$C$13/12))*0+MIN(H29*(1+Debts!$C$13/12),Debts!$D$13)+MIN(C29+0,I29*(1+Debts!$C$14/12))*0+MIN(I29*(1+Debts!$C$14/12),Debts!$D$14)+MIN(C29+0,J29*(1+Debts!$C$15/12))*0+MIN(J29*(1+Debts!$C$15/12),Debts!$D$15)))),0)))</f>
        <v>0</v>
      </c>
      <c r="K30" s="22" t="n">
        <f aca="false">IF(C29&gt;0,C29*Debts!$C$8/12,0)+IF(D29&gt;0,D29*Debts!$C$9/12,0)+IF(E29&gt;0,E29*Debts!$C$10/12,0)+IF(F29&gt;0,F29*Debts!$C$11/12,0)+IF(G29&gt;0,G29*Debts!$C$12/12,0)+IF(H29&gt;0,H29*Debts!$C$13/12,0)+IF(I29&gt;0,I29*Debts!$C$14/12,0)+IF(J29&gt;0,J29*Debts!$C$15/12,0)</f>
        <v>87.3537273854449</v>
      </c>
      <c r="L30" s="22" t="n">
        <f aca="false">SUM(C30:J30)</f>
        <v>17246.291381682</v>
      </c>
    </row>
    <row r="31" customFormat="false" ht="15" hidden="false" customHeight="false" outlineLevel="0" collapsed="false">
      <c r="A31" s="19" t="n">
        <f aca="false">24</f>
        <v>24</v>
      </c>
      <c r="B31" s="27" t="n">
        <f aca="false">IF(L30&lt;=0,0,Debts!$D$16+Debts!$B$4)</f>
        <v>1200</v>
      </c>
      <c r="C31" s="22" t="n">
        <f aca="false">IF(C30&lt;=0,0,MAX(0,C30*(1+Debts!$C$8/12)-MIN(C30*(1+Debts!$C$8/12),Debts!$D$8)-IF(AND(C30&gt;0,Debts!$E$8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0</v>
      </c>
      <c r="D31" s="22" t="n">
        <f aca="false">IF(D30&lt;=0,0,MAX(0,D30*(1+Debts!$C$9/12)-MIN(D30*(1+Debts!$C$9/12),Debts!$D$9)-IF(AND(D30&gt;0,Debts!$E$9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0</v>
      </c>
      <c r="E31" s="22" t="n">
        <f aca="false">IF(E30&lt;=0,0,MAX(0,E30*(1+Debts!$C$10/12)-MIN(E30*(1+Debts!$C$10/12),Debts!$D$10)-IF(AND(E30&gt;0,Debts!$E$10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796.251568751809</v>
      </c>
      <c r="F31" s="22" t="n">
        <f aca="false">IF(F30&lt;=0,0,MAX(0,F30*(1+Debts!$C$11/12)-MIN(F30*(1+Debts!$C$11/12),Debts!$D$11)-IF(AND(F30&gt;0,Debts!$E$11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15331.1573609959</v>
      </c>
      <c r="G31" s="22" t="n">
        <f aca="false">IF(G30&lt;=0,0,MAX(0,G30*(1+Debts!$C$12/12)-MIN(G30*(1+Debts!$C$12/12),Debts!$D$12)-IF(AND(G30&gt;0,Debts!$E$12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0</v>
      </c>
      <c r="H31" s="22" t="n">
        <f aca="false">IF(H30&lt;=0,0,MAX(0,H30*(1+Debts!$C$13/12)-MIN(H30*(1+Debts!$C$13/12),Debts!$D$13)-IF(AND(H30&gt;0,Debts!$E$13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0</v>
      </c>
      <c r="I31" s="22" t="n">
        <f aca="false">IF(I30&lt;=0,0,MAX(0,I30*(1+Debts!$C$14/12)-MIN(I30*(1+Debts!$C$14/12),Debts!$D$14)-IF(AND(I30&gt;0,Debts!$E$14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0</v>
      </c>
      <c r="J31" s="22" t="n">
        <f aca="false">IF(J30&lt;=0,0,MAX(0,J30*(1+Debts!$C$15/12)-MIN(J30*(1+Debts!$C$15/12),Debts!$D$15)-IF(AND(J30&gt;0,Debts!$E$15=MIN(IF(C30&gt;0,Debts!$E$8,999),IF(D30&gt;0,Debts!$E$9,999),IF(E30&gt;0,Debts!$E$10,999),IF(F30&gt;0,Debts!$E$11,999),IF(G30&gt;0,Debts!$E$12,999),IF(H30&gt;0,Debts!$E$13,999),IF(I30&gt;0,Debts!$E$14,999),IF(J30&gt;0,Debts!$E$15,999))),MAX(0,(B31-(MIN(C30+0,C30*(1+Debts!$C$8/12))*0+MIN(C30*(1+Debts!$C$8/12),Debts!$D$8)+MIN(C30+0,D30*(1+Debts!$C$9/12))*0+MIN(D30*(1+Debts!$C$9/12),Debts!$D$9)+MIN(C30+0,E30*(1+Debts!$C$10/12))*0+MIN(E30*(1+Debts!$C$10/12),Debts!$D$10)+MIN(C30+0,F30*(1+Debts!$C$11/12))*0+MIN(F30*(1+Debts!$C$11/12),Debts!$D$11)+MIN(C30+0,G30*(1+Debts!$C$12/12))*0+MIN(G30*(1+Debts!$C$12/12),Debts!$D$12)+MIN(C30+0,H30*(1+Debts!$C$13/12))*0+MIN(H30*(1+Debts!$C$13/12),Debts!$D$13)+MIN(C30+0,I30*(1+Debts!$C$14/12))*0+MIN(I30*(1+Debts!$C$14/12),Debts!$D$14)+MIN(C30+0,J30*(1+Debts!$C$15/12))*0+MIN(J30*(1+Debts!$C$15/12),Debts!$D$15)))),0)))</f>
        <v>0</v>
      </c>
      <c r="K31" s="22" t="n">
        <f aca="false">IF(C30&gt;0,C30*Debts!$C$8/12,0)+IF(D30&gt;0,D30*Debts!$C$9/12,0)+IF(E30&gt;0,E30*Debts!$C$10/12,0)+IF(F30&gt;0,F30*Debts!$C$11/12,0)+IF(G30&gt;0,G30*Debts!$C$12/12,0)+IF(H30&gt;0,H30*Debts!$C$13/12,0)+IF(I30&gt;0,I30*Debts!$C$14/12,0)+IF(J30&gt;0,J30*Debts!$C$15/12,0)</f>
        <v>81.1175480656635</v>
      </c>
      <c r="L31" s="22" t="n">
        <f aca="false">SUM(C31:J31)</f>
        <v>16127.4089297477</v>
      </c>
    </row>
    <row r="32" customFormat="false" ht="15" hidden="false" customHeight="false" outlineLevel="0" collapsed="false">
      <c r="A32" s="19" t="n">
        <f aca="false">25</f>
        <v>25</v>
      </c>
      <c r="B32" s="27" t="n">
        <f aca="false">IF(L31&lt;=0,0,Debts!$D$16+Debts!$B$4)</f>
        <v>1200</v>
      </c>
      <c r="C32" s="22" t="n">
        <f aca="false">IF(C31&lt;=0,0,MAX(0,C31*(1+Debts!$C$8/12)-MIN(C31*(1+Debts!$C$8/12),Debts!$D$8)-IF(AND(C31&gt;0,Debts!$E$8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D32" s="22" t="n">
        <f aca="false">IF(D31&lt;=0,0,MAX(0,D31*(1+Debts!$C$9/12)-MIN(D31*(1+Debts!$C$9/12),Debts!$D$9)-IF(AND(D31&gt;0,Debts!$E$9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E32" s="22" t="n">
        <f aca="false">IF(E31&lt;=0,0,MAX(0,E31*(1+Debts!$C$10/12)-MIN(E31*(1+Debts!$C$10/12),Debts!$D$10)-IF(AND(E31&gt;0,Debts!$E$10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F32" s="22" t="n">
        <f aca="false">IF(F31&lt;=0,0,MAX(0,F31*(1+Debts!$C$11/12)-MIN(F31*(1+Debts!$C$11/12),Debts!$D$11)-IF(AND(F31&gt;0,Debts!$E$11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15191.4251655671</v>
      </c>
      <c r="G32" s="22" t="n">
        <f aca="false">IF(G31&lt;=0,0,MAX(0,G31*(1+Debts!$C$12/12)-MIN(G31*(1+Debts!$C$12/12),Debts!$D$12)-IF(AND(G31&gt;0,Debts!$E$12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H32" s="22" t="n">
        <f aca="false">IF(H31&lt;=0,0,MAX(0,H31*(1+Debts!$C$13/12)-MIN(H31*(1+Debts!$C$13/12),Debts!$D$13)-IF(AND(H31&gt;0,Debts!$E$13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I32" s="22" t="n">
        <f aca="false">IF(I31&lt;=0,0,MAX(0,I31*(1+Debts!$C$14/12)-MIN(I31*(1+Debts!$C$14/12),Debts!$D$14)-IF(AND(I31&gt;0,Debts!$E$14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J32" s="22" t="n">
        <f aca="false">IF(J31&lt;=0,0,MAX(0,J31*(1+Debts!$C$15/12)-MIN(J31*(1+Debts!$C$15/12),Debts!$D$15)-IF(AND(J31&gt;0,Debts!$E$15=MIN(IF(C31&gt;0,Debts!$E$8,999),IF(D31&gt;0,Debts!$E$9,999),IF(E31&gt;0,Debts!$E$10,999),IF(F31&gt;0,Debts!$E$11,999),IF(G31&gt;0,Debts!$E$12,999),IF(H31&gt;0,Debts!$E$13,999),IF(I31&gt;0,Debts!$E$14,999),IF(J31&gt;0,Debts!$E$15,999))),MAX(0,(B32-(MIN(C31+0,C31*(1+Debts!$C$8/12))*0+MIN(C31*(1+Debts!$C$8/12),Debts!$D$8)+MIN(C31+0,D31*(1+Debts!$C$9/12))*0+MIN(D31*(1+Debts!$C$9/12),Debts!$D$9)+MIN(C31+0,E31*(1+Debts!$C$10/12))*0+MIN(E31*(1+Debts!$C$10/12),Debts!$D$10)+MIN(C31+0,F31*(1+Debts!$C$11/12))*0+MIN(F31*(1+Debts!$C$11/12),Debts!$D$11)+MIN(C31+0,G31*(1+Debts!$C$12/12))*0+MIN(G31*(1+Debts!$C$12/12),Debts!$D$12)+MIN(C31+0,H31*(1+Debts!$C$13/12))*0+MIN(H31*(1+Debts!$C$13/12),Debts!$D$13)+MIN(C31+0,I31*(1+Debts!$C$14/12))*0+MIN(I31*(1+Debts!$C$14/12),Debts!$D$14)+MIN(C31+0,J31*(1+Debts!$C$15/12))*0+MIN(J31*(1+Debts!$C$15/12),Debts!$D$15)))),0)))</f>
        <v>0</v>
      </c>
      <c r="K32" s="22" t="n">
        <f aca="false">IF(C31&gt;0,C31*Debts!$C$8/12,0)+IF(D31&gt;0,D31*Debts!$C$9/12,0)+IF(E31&gt;0,E31*Debts!$C$10/12,0)+IF(F31&gt;0,F31*Debts!$C$11/12,0)+IF(G31&gt;0,G31*Debts!$C$12/12,0)+IF(H31&gt;0,H31*Debts!$C$13/12,0)+IF(I31&gt;0,I31*Debts!$C$14/12,0)+IF(J31&gt;0,J31*Debts!$C$15/12,0)</f>
        <v>74.846251091554</v>
      </c>
      <c r="L32" s="22" t="n">
        <f aca="false">SUM(C32:J32)</f>
        <v>15191.4251655671</v>
      </c>
    </row>
    <row r="33" customFormat="false" ht="15" hidden="false" customHeight="false" outlineLevel="0" collapsed="false">
      <c r="A33" s="19" t="n">
        <f aca="false">26</f>
        <v>26</v>
      </c>
      <c r="B33" s="27" t="n">
        <f aca="false">IF(L32&lt;=0,0,Debts!$D$16+Debts!$B$4)</f>
        <v>1200</v>
      </c>
      <c r="C33" s="22" t="n">
        <f aca="false">IF(C32&lt;=0,0,MAX(0,C32*(1+Debts!$C$8/12)-MIN(C32*(1+Debts!$C$8/12),Debts!$D$8)-IF(AND(C32&gt;0,Debts!$E$8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D33" s="22" t="n">
        <f aca="false">IF(D32&lt;=0,0,MAX(0,D32*(1+Debts!$C$9/12)-MIN(D32*(1+Debts!$C$9/12),Debts!$D$9)-IF(AND(D32&gt;0,Debts!$E$9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E33" s="22" t="n">
        <f aca="false">IF(E32&lt;=0,0,MAX(0,E32*(1+Debts!$C$10/12)-MIN(E32*(1+Debts!$C$10/12),Debts!$D$10)-IF(AND(E32&gt;0,Debts!$E$10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F33" s="22" t="n">
        <f aca="false">IF(F32&lt;=0,0,MAX(0,F32*(1+Debts!$C$11/12)-MIN(F32*(1+Debts!$C$11/12),Debts!$D$11)-IF(AND(F32&gt;0,Debts!$E$11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14061.0525309093</v>
      </c>
      <c r="G33" s="22" t="n">
        <f aca="false">IF(G32&lt;=0,0,MAX(0,G32*(1+Debts!$C$12/12)-MIN(G32*(1+Debts!$C$12/12),Debts!$D$12)-IF(AND(G32&gt;0,Debts!$E$12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H33" s="22" t="n">
        <f aca="false">IF(H32&lt;=0,0,MAX(0,H32*(1+Debts!$C$13/12)-MIN(H32*(1+Debts!$C$13/12),Debts!$D$13)-IF(AND(H32&gt;0,Debts!$E$13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I33" s="22" t="n">
        <f aca="false">IF(I32&lt;=0,0,MAX(0,I32*(1+Debts!$C$14/12)-MIN(I32*(1+Debts!$C$14/12),Debts!$D$14)-IF(AND(I32&gt;0,Debts!$E$14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J33" s="22" t="n">
        <f aca="false">IF(J32&lt;=0,0,MAX(0,J32*(1+Debts!$C$15/12)-MIN(J32*(1+Debts!$C$15/12),Debts!$D$15)-IF(AND(J32&gt;0,Debts!$E$15=MIN(IF(C32&gt;0,Debts!$E$8,999),IF(D32&gt;0,Debts!$E$9,999),IF(E32&gt;0,Debts!$E$10,999),IF(F32&gt;0,Debts!$E$11,999),IF(G32&gt;0,Debts!$E$12,999),IF(H32&gt;0,Debts!$E$13,999),IF(I32&gt;0,Debts!$E$14,999),IF(J32&gt;0,Debts!$E$15,999))),MAX(0,(B33-(MIN(C32+0,C32*(1+Debts!$C$8/12))*0+MIN(C32*(1+Debts!$C$8/12),Debts!$D$8)+MIN(C32+0,D32*(1+Debts!$C$9/12))*0+MIN(D32*(1+Debts!$C$9/12),Debts!$D$9)+MIN(C32+0,E32*(1+Debts!$C$10/12))*0+MIN(E32*(1+Debts!$C$10/12),Debts!$D$10)+MIN(C32+0,F32*(1+Debts!$C$11/12))*0+MIN(F32*(1+Debts!$C$11/12),Debts!$D$11)+MIN(C32+0,G32*(1+Debts!$C$12/12))*0+MIN(G32*(1+Debts!$C$12/12),Debts!$D$12)+MIN(C32+0,H32*(1+Debts!$C$13/12))*0+MIN(H32*(1+Debts!$C$13/12),Debts!$D$13)+MIN(C32+0,I32*(1+Debts!$C$14/12))*0+MIN(I32*(1+Debts!$C$14/12),Debts!$D$14)+MIN(C32+0,J32*(1+Debts!$C$15/12))*0+MIN(J32*(1+Debts!$C$15/12),Debts!$D$15)))),0)))</f>
        <v>0</v>
      </c>
      <c r="K33" s="22" t="n">
        <f aca="false">IF(C32&gt;0,C32*Debts!$C$8/12,0)+IF(D32&gt;0,D32*Debts!$C$9/12,0)+IF(E32&gt;0,E32*Debts!$C$10/12,0)+IF(F32&gt;0,F32*Debts!$C$11/12,0)+IF(G32&gt;0,G32*Debts!$C$12/12,0)+IF(H32&gt;0,H32*Debts!$C$13/12,0)+IF(I32&gt;0,I32*Debts!$C$14/12,0)+IF(J32&gt;0,J32*Debts!$C$15/12,0)</f>
        <v>69.6273653421826</v>
      </c>
      <c r="L33" s="22" t="n">
        <f aca="false">SUM(C33:J33)</f>
        <v>14061.0525309093</v>
      </c>
    </row>
    <row r="34" customFormat="false" ht="15" hidden="false" customHeight="false" outlineLevel="0" collapsed="false">
      <c r="A34" s="19" t="n">
        <f aca="false">27</f>
        <v>27</v>
      </c>
      <c r="B34" s="27" t="n">
        <f aca="false">IF(L33&lt;=0,0,Debts!$D$16+Debts!$B$4)</f>
        <v>1200</v>
      </c>
      <c r="C34" s="22" t="n">
        <f aca="false">IF(C33&lt;=0,0,MAX(0,C33*(1+Debts!$C$8/12)-MIN(C33*(1+Debts!$C$8/12),Debts!$D$8)-IF(AND(C33&gt;0,Debts!$E$8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D34" s="22" t="n">
        <f aca="false">IF(D33&lt;=0,0,MAX(0,D33*(1+Debts!$C$9/12)-MIN(D33*(1+Debts!$C$9/12),Debts!$D$9)-IF(AND(D33&gt;0,Debts!$E$9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E34" s="22" t="n">
        <f aca="false">IF(E33&lt;=0,0,MAX(0,E33*(1+Debts!$C$10/12)-MIN(E33*(1+Debts!$C$10/12),Debts!$D$10)-IF(AND(E33&gt;0,Debts!$E$10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F34" s="22" t="n">
        <f aca="false">IF(F33&lt;=0,0,MAX(0,F33*(1+Debts!$C$11/12)-MIN(F33*(1+Debts!$C$11/12),Debts!$D$11)-IF(AND(F33&gt;0,Debts!$E$11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12925.499021676</v>
      </c>
      <c r="G34" s="22" t="n">
        <f aca="false">IF(G33&lt;=0,0,MAX(0,G33*(1+Debts!$C$12/12)-MIN(G33*(1+Debts!$C$12/12),Debts!$D$12)-IF(AND(G33&gt;0,Debts!$E$12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H34" s="22" t="n">
        <f aca="false">IF(H33&lt;=0,0,MAX(0,H33*(1+Debts!$C$13/12)-MIN(H33*(1+Debts!$C$13/12),Debts!$D$13)-IF(AND(H33&gt;0,Debts!$E$13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I34" s="22" t="n">
        <f aca="false">IF(I33&lt;=0,0,MAX(0,I33*(1+Debts!$C$14/12)-MIN(I33*(1+Debts!$C$14/12),Debts!$D$14)-IF(AND(I33&gt;0,Debts!$E$14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J34" s="22" t="n">
        <f aca="false">IF(J33&lt;=0,0,MAX(0,J33*(1+Debts!$C$15/12)-MIN(J33*(1+Debts!$C$15/12),Debts!$D$15)-IF(AND(J33&gt;0,Debts!$E$15=MIN(IF(C33&gt;0,Debts!$E$8,999),IF(D33&gt;0,Debts!$E$9,999),IF(E33&gt;0,Debts!$E$10,999),IF(F33&gt;0,Debts!$E$11,999),IF(G33&gt;0,Debts!$E$12,999),IF(H33&gt;0,Debts!$E$13,999),IF(I33&gt;0,Debts!$E$14,999),IF(J33&gt;0,Debts!$E$15,999))),MAX(0,(B34-(MIN(C33+0,C33*(1+Debts!$C$8/12))*0+MIN(C33*(1+Debts!$C$8/12),Debts!$D$8)+MIN(C33+0,D33*(1+Debts!$C$9/12))*0+MIN(D33*(1+Debts!$C$9/12),Debts!$D$9)+MIN(C33+0,E33*(1+Debts!$C$10/12))*0+MIN(E33*(1+Debts!$C$10/12),Debts!$D$10)+MIN(C33+0,F33*(1+Debts!$C$11/12))*0+MIN(F33*(1+Debts!$C$11/12),Debts!$D$11)+MIN(C33+0,G33*(1+Debts!$C$12/12))*0+MIN(G33*(1+Debts!$C$12/12),Debts!$D$12)+MIN(C33+0,H33*(1+Debts!$C$13/12))*0+MIN(H33*(1+Debts!$C$13/12),Debts!$D$13)+MIN(C33+0,I33*(1+Debts!$C$14/12))*0+MIN(I33*(1+Debts!$C$14/12),Debts!$D$14)+MIN(C33+0,J33*(1+Debts!$C$15/12))*0+MIN(J33*(1+Debts!$C$15/12),Debts!$D$15)))),0)))</f>
        <v>0</v>
      </c>
      <c r="K34" s="22" t="n">
        <f aca="false">IF(C33&gt;0,C33*Debts!$C$8/12,0)+IF(D33&gt;0,D33*Debts!$C$9/12,0)+IF(E33&gt;0,E33*Debts!$C$10/12,0)+IF(F33&gt;0,F33*Debts!$C$11/12,0)+IF(G33&gt;0,G33*Debts!$C$12/12,0)+IF(H33&gt;0,H33*Debts!$C$13/12,0)+IF(I33&gt;0,I33*Debts!$C$14/12,0)+IF(J33&gt;0,J33*Debts!$C$15/12,0)</f>
        <v>64.4464907666676</v>
      </c>
      <c r="L34" s="22" t="n">
        <f aca="false">SUM(C34:J34)</f>
        <v>12925.499021676</v>
      </c>
    </row>
    <row r="35" customFormat="false" ht="15" hidden="false" customHeight="false" outlineLevel="0" collapsed="false">
      <c r="A35" s="19" t="n">
        <f aca="false">28</f>
        <v>28</v>
      </c>
      <c r="B35" s="27" t="n">
        <f aca="false">IF(L34&lt;=0,0,Debts!$D$16+Debts!$B$4)</f>
        <v>1200</v>
      </c>
      <c r="C35" s="22" t="n">
        <f aca="false">IF(C34&lt;=0,0,MAX(0,C34*(1+Debts!$C$8/12)-MIN(C34*(1+Debts!$C$8/12),Debts!$D$8)-IF(AND(C34&gt;0,Debts!$E$8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D35" s="22" t="n">
        <f aca="false">IF(D34&lt;=0,0,MAX(0,D34*(1+Debts!$C$9/12)-MIN(D34*(1+Debts!$C$9/12),Debts!$D$9)-IF(AND(D34&gt;0,Debts!$E$9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E35" s="22" t="n">
        <f aca="false">IF(E34&lt;=0,0,MAX(0,E34*(1+Debts!$C$10/12)-MIN(E34*(1+Debts!$C$10/12),Debts!$D$10)-IF(AND(E34&gt;0,Debts!$E$10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F35" s="22" t="n">
        <f aca="false">IF(F34&lt;=0,0,MAX(0,F34*(1+Debts!$C$11/12)-MIN(F34*(1+Debts!$C$11/12),Debts!$D$11)-IF(AND(F34&gt;0,Debts!$E$11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11784.740892192</v>
      </c>
      <c r="G35" s="22" t="n">
        <f aca="false">IF(G34&lt;=0,0,MAX(0,G34*(1+Debts!$C$12/12)-MIN(G34*(1+Debts!$C$12/12),Debts!$D$12)-IF(AND(G34&gt;0,Debts!$E$12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H35" s="22" t="n">
        <f aca="false">IF(H34&lt;=0,0,MAX(0,H34*(1+Debts!$C$13/12)-MIN(H34*(1+Debts!$C$13/12),Debts!$D$13)-IF(AND(H34&gt;0,Debts!$E$13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I35" s="22" t="n">
        <f aca="false">IF(I34&lt;=0,0,MAX(0,I34*(1+Debts!$C$14/12)-MIN(I34*(1+Debts!$C$14/12),Debts!$D$14)-IF(AND(I34&gt;0,Debts!$E$14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J35" s="22" t="n">
        <f aca="false">IF(J34&lt;=0,0,MAX(0,J34*(1+Debts!$C$15/12)-MIN(J34*(1+Debts!$C$15/12),Debts!$D$15)-IF(AND(J34&gt;0,Debts!$E$15=MIN(IF(C34&gt;0,Debts!$E$8,999),IF(D34&gt;0,Debts!$E$9,999),IF(E34&gt;0,Debts!$E$10,999),IF(F34&gt;0,Debts!$E$11,999),IF(G34&gt;0,Debts!$E$12,999),IF(H34&gt;0,Debts!$E$13,999),IF(I34&gt;0,Debts!$E$14,999),IF(J34&gt;0,Debts!$E$15,999))),MAX(0,(B35-(MIN(C34+0,C34*(1+Debts!$C$8/12))*0+MIN(C34*(1+Debts!$C$8/12),Debts!$D$8)+MIN(C34+0,D34*(1+Debts!$C$9/12))*0+MIN(D34*(1+Debts!$C$9/12),Debts!$D$9)+MIN(C34+0,E34*(1+Debts!$C$10/12))*0+MIN(E34*(1+Debts!$C$10/12),Debts!$D$10)+MIN(C34+0,F34*(1+Debts!$C$11/12))*0+MIN(F34*(1+Debts!$C$11/12),Debts!$D$11)+MIN(C34+0,G34*(1+Debts!$C$12/12))*0+MIN(G34*(1+Debts!$C$12/12),Debts!$D$12)+MIN(C34+0,H34*(1+Debts!$C$13/12))*0+MIN(H34*(1+Debts!$C$13/12),Debts!$D$13)+MIN(C34+0,I34*(1+Debts!$C$14/12))*0+MIN(I34*(1+Debts!$C$14/12),Debts!$D$14)+MIN(C34+0,J34*(1+Debts!$C$15/12))*0+MIN(J34*(1+Debts!$C$15/12),Debts!$D$15)))),0)))</f>
        <v>0</v>
      </c>
      <c r="K35" s="22" t="n">
        <f aca="false">IF(C34&gt;0,C34*Debts!$C$8/12,0)+IF(D34&gt;0,D34*Debts!$C$9/12,0)+IF(E34&gt;0,E34*Debts!$C$10/12,0)+IF(F34&gt;0,F34*Debts!$C$11/12,0)+IF(G34&gt;0,G34*Debts!$C$12/12,0)+IF(H34&gt;0,H34*Debts!$C$13/12,0)+IF(I34&gt;0,I34*Debts!$C$14/12,0)+IF(J34&gt;0,J34*Debts!$C$15/12,0)</f>
        <v>59.2418705160148</v>
      </c>
      <c r="L35" s="22" t="n">
        <f aca="false">SUM(C35:J35)</f>
        <v>11784.740892192</v>
      </c>
    </row>
    <row r="36" customFormat="false" ht="15" hidden="false" customHeight="false" outlineLevel="0" collapsed="false">
      <c r="A36" s="19" t="n">
        <f aca="false">29</f>
        <v>29</v>
      </c>
      <c r="B36" s="27" t="n">
        <f aca="false">IF(L35&lt;=0,0,Debts!$D$16+Debts!$B$4)</f>
        <v>1200</v>
      </c>
      <c r="C36" s="22" t="n">
        <f aca="false">IF(C35&lt;=0,0,MAX(0,C35*(1+Debts!$C$8/12)-MIN(C35*(1+Debts!$C$8/12),Debts!$D$8)-IF(AND(C35&gt;0,Debts!$E$8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D36" s="22" t="n">
        <f aca="false">IF(D35&lt;=0,0,MAX(0,D35*(1+Debts!$C$9/12)-MIN(D35*(1+Debts!$C$9/12),Debts!$D$9)-IF(AND(D35&gt;0,Debts!$E$9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E36" s="22" t="n">
        <f aca="false">IF(E35&lt;=0,0,MAX(0,E35*(1+Debts!$C$10/12)-MIN(E35*(1+Debts!$C$10/12),Debts!$D$10)-IF(AND(E35&gt;0,Debts!$E$10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F36" s="22" t="n">
        <f aca="false">IF(F35&lt;=0,0,MAX(0,F35*(1+Debts!$C$11/12)-MIN(F35*(1+Debts!$C$11/12),Debts!$D$11)-IF(AND(F35&gt;0,Debts!$E$11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10638.7542879479</v>
      </c>
      <c r="G36" s="22" t="n">
        <f aca="false">IF(G35&lt;=0,0,MAX(0,G35*(1+Debts!$C$12/12)-MIN(G35*(1+Debts!$C$12/12),Debts!$D$12)-IF(AND(G35&gt;0,Debts!$E$12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H36" s="22" t="n">
        <f aca="false">IF(H35&lt;=0,0,MAX(0,H35*(1+Debts!$C$13/12)-MIN(H35*(1+Debts!$C$13/12),Debts!$D$13)-IF(AND(H35&gt;0,Debts!$E$13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I36" s="22" t="n">
        <f aca="false">IF(I35&lt;=0,0,MAX(0,I35*(1+Debts!$C$14/12)-MIN(I35*(1+Debts!$C$14/12),Debts!$D$14)-IF(AND(I35&gt;0,Debts!$E$14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J36" s="22" t="n">
        <f aca="false">IF(J35&lt;=0,0,MAX(0,J35*(1+Debts!$C$15/12)-MIN(J35*(1+Debts!$C$15/12),Debts!$D$15)-IF(AND(J35&gt;0,Debts!$E$15=MIN(IF(C35&gt;0,Debts!$E$8,999),IF(D35&gt;0,Debts!$E$9,999),IF(E35&gt;0,Debts!$E$10,999),IF(F35&gt;0,Debts!$E$11,999),IF(G35&gt;0,Debts!$E$12,999),IF(H35&gt;0,Debts!$E$13,999),IF(I35&gt;0,Debts!$E$14,999),IF(J35&gt;0,Debts!$E$15,999))),MAX(0,(B36-(MIN(C35+0,C35*(1+Debts!$C$8/12))*0+MIN(C35*(1+Debts!$C$8/12),Debts!$D$8)+MIN(C35+0,D35*(1+Debts!$C$9/12))*0+MIN(D35*(1+Debts!$C$9/12),Debts!$D$9)+MIN(C35+0,E35*(1+Debts!$C$10/12))*0+MIN(E35*(1+Debts!$C$10/12),Debts!$D$10)+MIN(C35+0,F35*(1+Debts!$C$11/12))*0+MIN(F35*(1+Debts!$C$11/12),Debts!$D$11)+MIN(C35+0,G35*(1+Debts!$C$12/12))*0+MIN(G35*(1+Debts!$C$12/12),Debts!$D$12)+MIN(C35+0,H35*(1+Debts!$C$13/12))*0+MIN(H35*(1+Debts!$C$13/12),Debts!$D$13)+MIN(C35+0,I35*(1+Debts!$C$14/12))*0+MIN(I35*(1+Debts!$C$14/12),Debts!$D$14)+MIN(C35+0,J35*(1+Debts!$C$15/12))*0+MIN(J35*(1+Debts!$C$15/12),Debts!$D$15)))),0)))</f>
        <v>0</v>
      </c>
      <c r="K36" s="22" t="n">
        <f aca="false">IF(C35&gt;0,C35*Debts!$C$8/12,0)+IF(D35&gt;0,D35*Debts!$C$9/12,0)+IF(E35&gt;0,E35*Debts!$C$10/12,0)+IF(F35&gt;0,F35*Debts!$C$11/12,0)+IF(G35&gt;0,G35*Debts!$C$12/12,0)+IF(H35&gt;0,H35*Debts!$C$13/12,0)+IF(I35&gt;0,I35*Debts!$C$14/12,0)+IF(J35&gt;0,J35*Debts!$C$15/12,0)</f>
        <v>54.0133957558799</v>
      </c>
      <c r="L36" s="22" t="n">
        <f aca="false">SUM(C36:J36)</f>
        <v>10638.7542879479</v>
      </c>
    </row>
    <row r="37" customFormat="false" ht="15" hidden="false" customHeight="false" outlineLevel="0" collapsed="false">
      <c r="A37" s="19" t="n">
        <f aca="false">30</f>
        <v>30</v>
      </c>
      <c r="B37" s="27" t="n">
        <f aca="false">IF(L36&lt;=0,0,Debts!$D$16+Debts!$B$4)</f>
        <v>1200</v>
      </c>
      <c r="C37" s="22" t="n">
        <f aca="false">IF(C36&lt;=0,0,MAX(0,C36*(1+Debts!$C$8/12)-MIN(C36*(1+Debts!$C$8/12),Debts!$D$8)-IF(AND(C36&gt;0,Debts!$E$8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D37" s="22" t="n">
        <f aca="false">IF(D36&lt;=0,0,MAX(0,D36*(1+Debts!$C$9/12)-MIN(D36*(1+Debts!$C$9/12),Debts!$D$9)-IF(AND(D36&gt;0,Debts!$E$9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E37" s="22" t="n">
        <f aca="false">IF(E36&lt;=0,0,MAX(0,E36*(1+Debts!$C$10/12)-MIN(E36*(1+Debts!$C$10/12),Debts!$D$10)-IF(AND(E36&gt;0,Debts!$E$10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F37" s="22" t="n">
        <f aca="false">IF(F36&lt;=0,0,MAX(0,F36*(1+Debts!$C$11/12)-MIN(F36*(1+Debts!$C$11/12),Debts!$D$11)-IF(AND(F36&gt;0,Debts!$E$11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9487.51524510095</v>
      </c>
      <c r="G37" s="22" t="n">
        <f aca="false">IF(G36&lt;=0,0,MAX(0,G36*(1+Debts!$C$12/12)-MIN(G36*(1+Debts!$C$12/12),Debts!$D$12)-IF(AND(G36&gt;0,Debts!$E$12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H37" s="22" t="n">
        <f aca="false">IF(H36&lt;=0,0,MAX(0,H36*(1+Debts!$C$13/12)-MIN(H36*(1+Debts!$C$13/12),Debts!$D$13)-IF(AND(H36&gt;0,Debts!$E$13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I37" s="22" t="n">
        <f aca="false">IF(I36&lt;=0,0,MAX(0,I36*(1+Debts!$C$14/12)-MIN(I36*(1+Debts!$C$14/12),Debts!$D$14)-IF(AND(I36&gt;0,Debts!$E$14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J37" s="22" t="n">
        <f aca="false">IF(J36&lt;=0,0,MAX(0,J36*(1+Debts!$C$15/12)-MIN(J36*(1+Debts!$C$15/12),Debts!$D$15)-IF(AND(J36&gt;0,Debts!$E$15=MIN(IF(C36&gt;0,Debts!$E$8,999),IF(D36&gt;0,Debts!$E$9,999),IF(E36&gt;0,Debts!$E$10,999),IF(F36&gt;0,Debts!$E$11,999),IF(G36&gt;0,Debts!$E$12,999),IF(H36&gt;0,Debts!$E$13,999),IF(I36&gt;0,Debts!$E$14,999),IF(J36&gt;0,Debts!$E$15,999))),MAX(0,(B37-(MIN(C36+0,C36*(1+Debts!$C$8/12))*0+MIN(C36*(1+Debts!$C$8/12),Debts!$D$8)+MIN(C36+0,D36*(1+Debts!$C$9/12))*0+MIN(D36*(1+Debts!$C$9/12),Debts!$D$9)+MIN(C36+0,E36*(1+Debts!$C$10/12))*0+MIN(E36*(1+Debts!$C$10/12),Debts!$D$10)+MIN(C36+0,F36*(1+Debts!$C$11/12))*0+MIN(F36*(1+Debts!$C$11/12),Debts!$D$11)+MIN(C36+0,G36*(1+Debts!$C$12/12))*0+MIN(G36*(1+Debts!$C$12/12),Debts!$D$12)+MIN(C36+0,H36*(1+Debts!$C$13/12))*0+MIN(H36*(1+Debts!$C$13/12),Debts!$D$13)+MIN(C36+0,I36*(1+Debts!$C$14/12))*0+MIN(I36*(1+Debts!$C$14/12),Debts!$D$14)+MIN(C36+0,J36*(1+Debts!$C$15/12))*0+MIN(J36*(1+Debts!$C$15/12),Debts!$D$15)))),0)))</f>
        <v>0</v>
      </c>
      <c r="K37" s="22" t="n">
        <f aca="false">IF(C36&gt;0,C36*Debts!$C$8/12,0)+IF(D36&gt;0,D36*Debts!$C$9/12,0)+IF(E36&gt;0,E36*Debts!$C$10/12,0)+IF(F36&gt;0,F36*Debts!$C$11/12,0)+IF(G36&gt;0,G36*Debts!$C$12/12,0)+IF(H36&gt;0,H36*Debts!$C$13/12,0)+IF(I36&gt;0,I36*Debts!$C$14/12,0)+IF(J36&gt;0,J36*Debts!$C$15/12,0)</f>
        <v>48.7609571530943</v>
      </c>
      <c r="L37" s="22" t="n">
        <f aca="false">SUM(C37:J37)</f>
        <v>9487.51524510095</v>
      </c>
    </row>
    <row r="38" customFormat="false" ht="15" hidden="false" customHeight="false" outlineLevel="0" collapsed="false">
      <c r="A38" s="19" t="n">
        <f aca="false">31</f>
        <v>31</v>
      </c>
      <c r="B38" s="27" t="n">
        <f aca="false">IF(L37&lt;=0,0,Debts!$D$16+Debts!$B$4)</f>
        <v>1200</v>
      </c>
      <c r="C38" s="22" t="n">
        <f aca="false">IF(C37&lt;=0,0,MAX(0,C37*(1+Debts!$C$8/12)-MIN(C37*(1+Debts!$C$8/12),Debts!$D$8)-IF(AND(C37&gt;0,Debts!$E$8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D38" s="22" t="n">
        <f aca="false">IF(D37&lt;=0,0,MAX(0,D37*(1+Debts!$C$9/12)-MIN(D37*(1+Debts!$C$9/12),Debts!$D$9)-IF(AND(D37&gt;0,Debts!$E$9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E38" s="22" t="n">
        <f aca="false">IF(E37&lt;=0,0,MAX(0,E37*(1+Debts!$C$10/12)-MIN(E37*(1+Debts!$C$10/12),Debts!$D$10)-IF(AND(E37&gt;0,Debts!$E$10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F38" s="22" t="n">
        <f aca="false">IF(F37&lt;=0,0,MAX(0,F37*(1+Debts!$C$11/12)-MIN(F37*(1+Debts!$C$11/12),Debts!$D$11)-IF(AND(F37&gt;0,Debts!$E$11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8330.99968997433</v>
      </c>
      <c r="G38" s="22" t="n">
        <f aca="false">IF(G37&lt;=0,0,MAX(0,G37*(1+Debts!$C$12/12)-MIN(G37*(1+Debts!$C$12/12),Debts!$D$12)-IF(AND(G37&gt;0,Debts!$E$12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H38" s="22" t="n">
        <f aca="false">IF(H37&lt;=0,0,MAX(0,H37*(1+Debts!$C$13/12)-MIN(H37*(1+Debts!$C$13/12),Debts!$D$13)-IF(AND(H37&gt;0,Debts!$E$13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I38" s="22" t="n">
        <f aca="false">IF(I37&lt;=0,0,MAX(0,I37*(1+Debts!$C$14/12)-MIN(I37*(1+Debts!$C$14/12),Debts!$D$14)-IF(AND(I37&gt;0,Debts!$E$14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J38" s="22" t="n">
        <f aca="false">IF(J37&lt;=0,0,MAX(0,J37*(1+Debts!$C$15/12)-MIN(J37*(1+Debts!$C$15/12),Debts!$D$15)-IF(AND(J37&gt;0,Debts!$E$15=MIN(IF(C37&gt;0,Debts!$E$8,999),IF(D37&gt;0,Debts!$E$9,999),IF(E37&gt;0,Debts!$E$10,999),IF(F37&gt;0,Debts!$E$11,999),IF(G37&gt;0,Debts!$E$12,999),IF(H37&gt;0,Debts!$E$13,999),IF(I37&gt;0,Debts!$E$14,999),IF(J37&gt;0,Debts!$E$15,999))),MAX(0,(B38-(MIN(C37+0,C37*(1+Debts!$C$8/12))*0+MIN(C37*(1+Debts!$C$8/12),Debts!$D$8)+MIN(C37+0,D37*(1+Debts!$C$9/12))*0+MIN(D37*(1+Debts!$C$9/12),Debts!$D$9)+MIN(C37+0,E37*(1+Debts!$C$10/12))*0+MIN(E37*(1+Debts!$C$10/12),Debts!$D$10)+MIN(C37+0,F37*(1+Debts!$C$11/12))*0+MIN(F37*(1+Debts!$C$11/12),Debts!$D$11)+MIN(C37+0,G37*(1+Debts!$C$12/12))*0+MIN(G37*(1+Debts!$C$12/12),Debts!$D$12)+MIN(C37+0,H37*(1+Debts!$C$13/12))*0+MIN(H37*(1+Debts!$C$13/12),Debts!$D$13)+MIN(C37+0,I37*(1+Debts!$C$14/12))*0+MIN(I37*(1+Debts!$C$14/12),Debts!$D$14)+MIN(C37+0,J37*(1+Debts!$C$15/12))*0+MIN(J37*(1+Debts!$C$15/12),Debts!$D$15)))),0)))</f>
        <v>0</v>
      </c>
      <c r="K38" s="22" t="n">
        <f aca="false">IF(C37&gt;0,C37*Debts!$C$8/12,0)+IF(D37&gt;0,D37*Debts!$C$9/12,0)+IF(E37&gt;0,E37*Debts!$C$10/12,0)+IF(F37&gt;0,F37*Debts!$C$11/12,0)+IF(G37&gt;0,G37*Debts!$C$12/12,0)+IF(H37&gt;0,H37*Debts!$C$13/12,0)+IF(I37&gt;0,I37*Debts!$C$14/12,0)+IF(J37&gt;0,J37*Debts!$C$15/12,0)</f>
        <v>43.4844448733793</v>
      </c>
      <c r="L38" s="22" t="n">
        <f aca="false">SUM(C38:J38)</f>
        <v>8330.99968997433</v>
      </c>
    </row>
    <row r="39" customFormat="false" ht="15" hidden="false" customHeight="false" outlineLevel="0" collapsed="false">
      <c r="A39" s="19" t="n">
        <f aca="false">32</f>
        <v>32</v>
      </c>
      <c r="B39" s="27" t="n">
        <f aca="false">IF(L38&lt;=0,0,Debts!$D$16+Debts!$B$4)</f>
        <v>1200</v>
      </c>
      <c r="C39" s="22" t="n">
        <f aca="false">IF(C38&lt;=0,0,MAX(0,C38*(1+Debts!$C$8/12)-MIN(C38*(1+Debts!$C$8/12),Debts!$D$8)-IF(AND(C38&gt;0,Debts!$E$8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D39" s="22" t="n">
        <f aca="false">IF(D38&lt;=0,0,MAX(0,D38*(1+Debts!$C$9/12)-MIN(D38*(1+Debts!$C$9/12),Debts!$D$9)-IF(AND(D38&gt;0,Debts!$E$9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E39" s="22" t="n">
        <f aca="false">IF(E38&lt;=0,0,MAX(0,E38*(1+Debts!$C$10/12)-MIN(E38*(1+Debts!$C$10/12),Debts!$D$10)-IF(AND(E38&gt;0,Debts!$E$10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F39" s="22" t="n">
        <f aca="false">IF(F38&lt;=0,0,MAX(0,F38*(1+Debts!$C$11/12)-MIN(F38*(1+Debts!$C$11/12),Debts!$D$11)-IF(AND(F38&gt;0,Debts!$E$11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7169.18343855338</v>
      </c>
      <c r="G39" s="22" t="n">
        <f aca="false">IF(G38&lt;=0,0,MAX(0,G38*(1+Debts!$C$12/12)-MIN(G38*(1+Debts!$C$12/12),Debts!$D$12)-IF(AND(G38&gt;0,Debts!$E$12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H39" s="22" t="n">
        <f aca="false">IF(H38&lt;=0,0,MAX(0,H38*(1+Debts!$C$13/12)-MIN(H38*(1+Debts!$C$13/12),Debts!$D$13)-IF(AND(H38&gt;0,Debts!$E$13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I39" s="22" t="n">
        <f aca="false">IF(I38&lt;=0,0,MAX(0,I38*(1+Debts!$C$14/12)-MIN(I38*(1+Debts!$C$14/12),Debts!$D$14)-IF(AND(I38&gt;0,Debts!$E$14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J39" s="22" t="n">
        <f aca="false">IF(J38&lt;=0,0,MAX(0,J38*(1+Debts!$C$15/12)-MIN(J38*(1+Debts!$C$15/12),Debts!$D$15)-IF(AND(J38&gt;0,Debts!$E$15=MIN(IF(C38&gt;0,Debts!$E$8,999),IF(D38&gt;0,Debts!$E$9,999),IF(E38&gt;0,Debts!$E$10,999),IF(F38&gt;0,Debts!$E$11,999),IF(G38&gt;0,Debts!$E$12,999),IF(H38&gt;0,Debts!$E$13,999),IF(I38&gt;0,Debts!$E$14,999),IF(J38&gt;0,Debts!$E$15,999))),MAX(0,(B39-(MIN(C38+0,C38*(1+Debts!$C$8/12))*0+MIN(C38*(1+Debts!$C$8/12),Debts!$D$8)+MIN(C38+0,D38*(1+Debts!$C$9/12))*0+MIN(D38*(1+Debts!$C$9/12),Debts!$D$9)+MIN(C38+0,E38*(1+Debts!$C$10/12))*0+MIN(E38*(1+Debts!$C$10/12),Debts!$D$10)+MIN(C38+0,F38*(1+Debts!$C$11/12))*0+MIN(F38*(1+Debts!$C$11/12),Debts!$D$11)+MIN(C38+0,G38*(1+Debts!$C$12/12))*0+MIN(G38*(1+Debts!$C$12/12),Debts!$D$12)+MIN(C38+0,H38*(1+Debts!$C$13/12))*0+MIN(H38*(1+Debts!$C$13/12),Debts!$D$13)+MIN(C38+0,I38*(1+Debts!$C$14/12))*0+MIN(I38*(1+Debts!$C$14/12),Debts!$D$14)+MIN(C38+0,J38*(1+Debts!$C$15/12))*0+MIN(J38*(1+Debts!$C$15/12),Debts!$D$15)))),0)))</f>
        <v>0</v>
      </c>
      <c r="K39" s="22" t="n">
        <f aca="false">IF(C38&gt;0,C38*Debts!$C$8/12,0)+IF(D38&gt;0,D38*Debts!$C$9/12,0)+IF(E38&gt;0,E38*Debts!$C$10/12,0)+IF(F38&gt;0,F38*Debts!$C$11/12,0)+IF(G38&gt;0,G38*Debts!$C$12/12,0)+IF(H38&gt;0,H38*Debts!$C$13/12,0)+IF(I38&gt;0,I38*Debts!$C$14/12,0)+IF(J38&gt;0,J38*Debts!$C$15/12,0)</f>
        <v>38.183748579049</v>
      </c>
      <c r="L39" s="22" t="n">
        <f aca="false">SUM(C39:J39)</f>
        <v>7169.18343855338</v>
      </c>
    </row>
    <row r="40" customFormat="false" ht="15" hidden="false" customHeight="false" outlineLevel="0" collapsed="false">
      <c r="A40" s="19" t="n">
        <f aca="false">33</f>
        <v>33</v>
      </c>
      <c r="B40" s="27" t="n">
        <f aca="false">IF(L39&lt;=0,0,Debts!$D$16+Debts!$B$4)</f>
        <v>1200</v>
      </c>
      <c r="C40" s="22" t="n">
        <f aca="false">IF(C39&lt;=0,0,MAX(0,C39*(1+Debts!$C$8/12)-MIN(C39*(1+Debts!$C$8/12),Debts!$D$8)-IF(AND(C39&gt;0,Debts!$E$8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D40" s="22" t="n">
        <f aca="false">IF(D39&lt;=0,0,MAX(0,D39*(1+Debts!$C$9/12)-MIN(D39*(1+Debts!$C$9/12),Debts!$D$9)-IF(AND(D39&gt;0,Debts!$E$9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E40" s="22" t="n">
        <f aca="false">IF(E39&lt;=0,0,MAX(0,E39*(1+Debts!$C$10/12)-MIN(E39*(1+Debts!$C$10/12),Debts!$D$10)-IF(AND(E39&gt;0,Debts!$E$10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F40" s="22" t="n">
        <f aca="false">IF(F39&lt;=0,0,MAX(0,F39*(1+Debts!$C$11/12)-MIN(F39*(1+Debts!$C$11/12),Debts!$D$11)-IF(AND(F39&gt;0,Debts!$E$11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6002.04219598008</v>
      </c>
      <c r="G40" s="22" t="n">
        <f aca="false">IF(G39&lt;=0,0,MAX(0,G39*(1+Debts!$C$12/12)-MIN(G39*(1+Debts!$C$12/12),Debts!$D$12)-IF(AND(G39&gt;0,Debts!$E$12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H40" s="22" t="n">
        <f aca="false">IF(H39&lt;=0,0,MAX(0,H39*(1+Debts!$C$13/12)-MIN(H39*(1+Debts!$C$13/12),Debts!$D$13)-IF(AND(H39&gt;0,Debts!$E$13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I40" s="22" t="n">
        <f aca="false">IF(I39&lt;=0,0,MAX(0,I39*(1+Debts!$C$14/12)-MIN(I39*(1+Debts!$C$14/12),Debts!$D$14)-IF(AND(I39&gt;0,Debts!$E$14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J40" s="22" t="n">
        <f aca="false">IF(J39&lt;=0,0,MAX(0,J39*(1+Debts!$C$15/12)-MIN(J39*(1+Debts!$C$15/12),Debts!$D$15)-IF(AND(J39&gt;0,Debts!$E$15=MIN(IF(C39&gt;0,Debts!$E$8,999),IF(D39&gt;0,Debts!$E$9,999),IF(E39&gt;0,Debts!$E$10,999),IF(F39&gt;0,Debts!$E$11,999),IF(G39&gt;0,Debts!$E$12,999),IF(H39&gt;0,Debts!$E$13,999),IF(I39&gt;0,Debts!$E$14,999),IF(J39&gt;0,Debts!$E$15,999))),MAX(0,(B40-(MIN(C39+0,C39*(1+Debts!$C$8/12))*0+MIN(C39*(1+Debts!$C$8/12),Debts!$D$8)+MIN(C39+0,D39*(1+Debts!$C$9/12))*0+MIN(D39*(1+Debts!$C$9/12),Debts!$D$9)+MIN(C39+0,E39*(1+Debts!$C$10/12))*0+MIN(E39*(1+Debts!$C$10/12),Debts!$D$10)+MIN(C39+0,F39*(1+Debts!$C$11/12))*0+MIN(F39*(1+Debts!$C$11/12),Debts!$D$11)+MIN(C39+0,G39*(1+Debts!$C$12/12))*0+MIN(G39*(1+Debts!$C$12/12),Debts!$D$12)+MIN(C39+0,H39*(1+Debts!$C$13/12))*0+MIN(H39*(1+Debts!$C$13/12),Debts!$D$13)+MIN(C39+0,I39*(1+Debts!$C$14/12))*0+MIN(I39*(1+Debts!$C$14/12),Debts!$D$14)+MIN(C39+0,J39*(1+Debts!$C$15/12))*0+MIN(J39*(1+Debts!$C$15/12),Debts!$D$15)))),0)))</f>
        <v>0</v>
      </c>
      <c r="K40" s="22" t="n">
        <f aca="false">IF(C39&gt;0,C39*Debts!$C$8/12,0)+IF(D39&gt;0,D39*Debts!$C$9/12,0)+IF(E39&gt;0,E39*Debts!$C$10/12,0)+IF(F39&gt;0,F39*Debts!$C$11/12,0)+IF(G39&gt;0,G39*Debts!$C$12/12,0)+IF(H39&gt;0,H39*Debts!$C$13/12,0)+IF(I39&gt;0,I39*Debts!$C$14/12,0)+IF(J39&gt;0,J39*Debts!$C$15/12,0)</f>
        <v>32.858757426703</v>
      </c>
      <c r="L40" s="22" t="n">
        <f aca="false">SUM(C40:J40)</f>
        <v>6002.04219598008</v>
      </c>
    </row>
    <row r="41" customFormat="false" ht="15" hidden="false" customHeight="false" outlineLevel="0" collapsed="false">
      <c r="A41" s="19" t="n">
        <f aca="false">34</f>
        <v>34</v>
      </c>
      <c r="B41" s="27" t="n">
        <f aca="false">IF(L40&lt;=0,0,Debts!$D$16+Debts!$B$4)</f>
        <v>1200</v>
      </c>
      <c r="C41" s="22" t="n">
        <f aca="false">IF(C40&lt;=0,0,MAX(0,C40*(1+Debts!$C$8/12)-MIN(C40*(1+Debts!$C$8/12),Debts!$D$8)-IF(AND(C40&gt;0,Debts!$E$8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D41" s="22" t="n">
        <f aca="false">IF(D40&lt;=0,0,MAX(0,D40*(1+Debts!$C$9/12)-MIN(D40*(1+Debts!$C$9/12),Debts!$D$9)-IF(AND(D40&gt;0,Debts!$E$9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E41" s="22" t="n">
        <f aca="false">IF(E40&lt;=0,0,MAX(0,E40*(1+Debts!$C$10/12)-MIN(E40*(1+Debts!$C$10/12),Debts!$D$10)-IF(AND(E40&gt;0,Debts!$E$10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F41" s="22" t="n">
        <f aca="false">IF(F40&lt;=0,0,MAX(0,F40*(1+Debts!$C$11/12)-MIN(F40*(1+Debts!$C$11/12),Debts!$D$11)-IF(AND(F40&gt;0,Debts!$E$11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4829.55155604499</v>
      </c>
      <c r="G41" s="22" t="n">
        <f aca="false">IF(G40&lt;=0,0,MAX(0,G40*(1+Debts!$C$12/12)-MIN(G40*(1+Debts!$C$12/12),Debts!$D$12)-IF(AND(G40&gt;0,Debts!$E$12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H41" s="22" t="n">
        <f aca="false">IF(H40&lt;=0,0,MAX(0,H40*(1+Debts!$C$13/12)-MIN(H40*(1+Debts!$C$13/12),Debts!$D$13)-IF(AND(H40&gt;0,Debts!$E$13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I41" s="22" t="n">
        <f aca="false">IF(I40&lt;=0,0,MAX(0,I40*(1+Debts!$C$14/12)-MIN(I40*(1+Debts!$C$14/12),Debts!$D$14)-IF(AND(I40&gt;0,Debts!$E$14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J41" s="22" t="n">
        <f aca="false">IF(J40&lt;=0,0,MAX(0,J40*(1+Debts!$C$15/12)-MIN(J40*(1+Debts!$C$15/12),Debts!$D$15)-IF(AND(J40&gt;0,Debts!$E$15=MIN(IF(C40&gt;0,Debts!$E$8,999),IF(D40&gt;0,Debts!$E$9,999),IF(E40&gt;0,Debts!$E$10,999),IF(F40&gt;0,Debts!$E$11,999),IF(G40&gt;0,Debts!$E$12,999),IF(H40&gt;0,Debts!$E$13,999),IF(I40&gt;0,Debts!$E$14,999),IF(J40&gt;0,Debts!$E$15,999))),MAX(0,(B41-(MIN(C40+0,C40*(1+Debts!$C$8/12))*0+MIN(C40*(1+Debts!$C$8/12),Debts!$D$8)+MIN(C40+0,D40*(1+Debts!$C$9/12))*0+MIN(D40*(1+Debts!$C$9/12),Debts!$D$9)+MIN(C40+0,E40*(1+Debts!$C$10/12))*0+MIN(E40*(1+Debts!$C$10/12),Debts!$D$10)+MIN(C40+0,F40*(1+Debts!$C$11/12))*0+MIN(F40*(1+Debts!$C$11/12),Debts!$D$11)+MIN(C40+0,G40*(1+Debts!$C$12/12))*0+MIN(G40*(1+Debts!$C$12/12),Debts!$D$12)+MIN(C40+0,H40*(1+Debts!$C$13/12))*0+MIN(H40*(1+Debts!$C$13/12),Debts!$D$13)+MIN(C40+0,I40*(1+Debts!$C$14/12))*0+MIN(I40*(1+Debts!$C$14/12),Debts!$D$14)+MIN(C40+0,J40*(1+Debts!$C$15/12))*0+MIN(J40*(1+Debts!$C$15/12),Debts!$D$15)))),0)))</f>
        <v>0</v>
      </c>
      <c r="K41" s="22" t="n">
        <f aca="false">IF(C40&gt;0,C40*Debts!$C$8/12,0)+IF(D40&gt;0,D40*Debts!$C$9/12,0)+IF(E40&gt;0,E40*Debts!$C$10/12,0)+IF(F40&gt;0,F40*Debts!$C$11/12,0)+IF(G40&gt;0,G40*Debts!$C$12/12,0)+IF(H40&gt;0,H40*Debts!$C$13/12,0)+IF(I40&gt;0,I40*Debts!$C$14/12,0)+IF(J40&gt;0,J40*Debts!$C$15/12,0)</f>
        <v>27.5093600649087</v>
      </c>
      <c r="L41" s="22" t="n">
        <f aca="false">SUM(C41:J41)</f>
        <v>4829.55155604499</v>
      </c>
    </row>
    <row r="42" customFormat="false" ht="15" hidden="false" customHeight="false" outlineLevel="0" collapsed="false">
      <c r="A42" s="19" t="n">
        <f aca="false">35</f>
        <v>35</v>
      </c>
      <c r="B42" s="27" t="n">
        <f aca="false">IF(L41&lt;=0,0,Debts!$D$16+Debts!$B$4)</f>
        <v>1200</v>
      </c>
      <c r="C42" s="22" t="n">
        <f aca="false">IF(C41&lt;=0,0,MAX(0,C41*(1+Debts!$C$8/12)-MIN(C41*(1+Debts!$C$8/12),Debts!$D$8)-IF(AND(C41&gt;0,Debts!$E$8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D42" s="22" t="n">
        <f aca="false">IF(D41&lt;=0,0,MAX(0,D41*(1+Debts!$C$9/12)-MIN(D41*(1+Debts!$C$9/12),Debts!$D$9)-IF(AND(D41&gt;0,Debts!$E$9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E42" s="22" t="n">
        <f aca="false">IF(E41&lt;=0,0,MAX(0,E41*(1+Debts!$C$10/12)-MIN(E41*(1+Debts!$C$10/12),Debts!$D$10)-IF(AND(E41&gt;0,Debts!$E$10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F42" s="22" t="n">
        <f aca="false">IF(F41&lt;=0,0,MAX(0,F41*(1+Debts!$C$11/12)-MIN(F41*(1+Debts!$C$11/12),Debts!$D$11)-IF(AND(F41&gt;0,Debts!$E$11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3651.68700067686</v>
      </c>
      <c r="G42" s="22" t="n">
        <f aca="false">IF(G41&lt;=0,0,MAX(0,G41*(1+Debts!$C$12/12)-MIN(G41*(1+Debts!$C$12/12),Debts!$D$12)-IF(AND(G41&gt;0,Debts!$E$12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H42" s="22" t="n">
        <f aca="false">IF(H41&lt;=0,0,MAX(0,H41*(1+Debts!$C$13/12)-MIN(H41*(1+Debts!$C$13/12),Debts!$D$13)-IF(AND(H41&gt;0,Debts!$E$13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I42" s="22" t="n">
        <f aca="false">IF(I41&lt;=0,0,MAX(0,I41*(1+Debts!$C$14/12)-MIN(I41*(1+Debts!$C$14/12),Debts!$D$14)-IF(AND(I41&gt;0,Debts!$E$14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J42" s="22" t="n">
        <f aca="false">IF(J41&lt;=0,0,MAX(0,J41*(1+Debts!$C$15/12)-MIN(J41*(1+Debts!$C$15/12),Debts!$D$15)-IF(AND(J41&gt;0,Debts!$E$15=MIN(IF(C41&gt;0,Debts!$E$8,999),IF(D41&gt;0,Debts!$E$9,999),IF(E41&gt;0,Debts!$E$10,999),IF(F41&gt;0,Debts!$E$11,999),IF(G41&gt;0,Debts!$E$12,999),IF(H41&gt;0,Debts!$E$13,999),IF(I41&gt;0,Debts!$E$14,999),IF(J41&gt;0,Debts!$E$15,999))),MAX(0,(B42-(MIN(C41+0,C41*(1+Debts!$C$8/12))*0+MIN(C41*(1+Debts!$C$8/12),Debts!$D$8)+MIN(C41+0,D41*(1+Debts!$C$9/12))*0+MIN(D41*(1+Debts!$C$9/12),Debts!$D$9)+MIN(C41+0,E41*(1+Debts!$C$10/12))*0+MIN(E41*(1+Debts!$C$10/12),Debts!$D$10)+MIN(C41+0,F41*(1+Debts!$C$11/12))*0+MIN(F41*(1+Debts!$C$11/12),Debts!$D$11)+MIN(C41+0,G41*(1+Debts!$C$12/12))*0+MIN(G41*(1+Debts!$C$12/12),Debts!$D$12)+MIN(C41+0,H41*(1+Debts!$C$13/12))*0+MIN(H41*(1+Debts!$C$13/12),Debts!$D$13)+MIN(C41+0,I41*(1+Debts!$C$14/12))*0+MIN(I41*(1+Debts!$C$14/12),Debts!$D$14)+MIN(C41+0,J41*(1+Debts!$C$15/12))*0+MIN(J41*(1+Debts!$C$15/12),Debts!$D$15)))),0)))</f>
        <v>0</v>
      </c>
      <c r="K42" s="22" t="n">
        <f aca="false">IF(C41&gt;0,C41*Debts!$C$8/12,0)+IF(D41&gt;0,D41*Debts!$C$9/12,0)+IF(E41&gt;0,E41*Debts!$C$10/12,0)+IF(F41&gt;0,F41*Debts!$C$11/12,0)+IF(G41&gt;0,G41*Debts!$C$12/12,0)+IF(H41&gt;0,H41*Debts!$C$13/12,0)+IF(I41&gt;0,I41*Debts!$C$14/12,0)+IF(J41&gt;0,J41*Debts!$C$15/12,0)</f>
        <v>22.1354446318729</v>
      </c>
      <c r="L42" s="22" t="n">
        <f aca="false">SUM(C42:J42)</f>
        <v>3651.68700067686</v>
      </c>
    </row>
    <row r="43" customFormat="false" ht="15" hidden="false" customHeight="false" outlineLevel="0" collapsed="false">
      <c r="A43" s="19" t="n">
        <f aca="false">36</f>
        <v>36</v>
      </c>
      <c r="B43" s="27" t="n">
        <f aca="false">IF(L42&lt;=0,0,Debts!$D$16+Debts!$B$4)</f>
        <v>1200</v>
      </c>
      <c r="C43" s="22" t="n">
        <f aca="false">IF(C42&lt;=0,0,MAX(0,C42*(1+Debts!$C$8/12)-MIN(C42*(1+Debts!$C$8/12),Debts!$D$8)-IF(AND(C42&gt;0,Debts!$E$8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D43" s="22" t="n">
        <f aca="false">IF(D42&lt;=0,0,MAX(0,D42*(1+Debts!$C$9/12)-MIN(D42*(1+Debts!$C$9/12),Debts!$D$9)-IF(AND(D42&gt;0,Debts!$E$9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E43" s="22" t="n">
        <f aca="false">IF(E42&lt;=0,0,MAX(0,E42*(1+Debts!$C$10/12)-MIN(E42*(1+Debts!$C$10/12),Debts!$D$10)-IF(AND(E42&gt;0,Debts!$E$10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F43" s="22" t="n">
        <f aca="false">IF(F42&lt;=0,0,MAX(0,F42*(1+Debts!$C$11/12)-MIN(F42*(1+Debts!$C$11/12),Debts!$D$11)-IF(AND(F42&gt;0,Debts!$E$11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2468.42389942996</v>
      </c>
      <c r="G43" s="22" t="n">
        <f aca="false">IF(G42&lt;=0,0,MAX(0,G42*(1+Debts!$C$12/12)-MIN(G42*(1+Debts!$C$12/12),Debts!$D$12)-IF(AND(G42&gt;0,Debts!$E$12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H43" s="22" t="n">
        <f aca="false">IF(H42&lt;=0,0,MAX(0,H42*(1+Debts!$C$13/12)-MIN(H42*(1+Debts!$C$13/12),Debts!$D$13)-IF(AND(H42&gt;0,Debts!$E$13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I43" s="22" t="n">
        <f aca="false">IF(I42&lt;=0,0,MAX(0,I42*(1+Debts!$C$14/12)-MIN(I42*(1+Debts!$C$14/12),Debts!$D$14)-IF(AND(I42&gt;0,Debts!$E$14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J43" s="22" t="n">
        <f aca="false">IF(J42&lt;=0,0,MAX(0,J42*(1+Debts!$C$15/12)-MIN(J42*(1+Debts!$C$15/12),Debts!$D$15)-IF(AND(J42&gt;0,Debts!$E$15=MIN(IF(C42&gt;0,Debts!$E$8,999),IF(D42&gt;0,Debts!$E$9,999),IF(E42&gt;0,Debts!$E$10,999),IF(F42&gt;0,Debts!$E$11,999),IF(G42&gt;0,Debts!$E$12,999),IF(H42&gt;0,Debts!$E$13,999),IF(I42&gt;0,Debts!$E$14,999),IF(J42&gt;0,Debts!$E$15,999))),MAX(0,(B43-(MIN(C42+0,C42*(1+Debts!$C$8/12))*0+MIN(C42*(1+Debts!$C$8/12),Debts!$D$8)+MIN(C42+0,D42*(1+Debts!$C$9/12))*0+MIN(D42*(1+Debts!$C$9/12),Debts!$D$9)+MIN(C42+0,E42*(1+Debts!$C$10/12))*0+MIN(E42*(1+Debts!$C$10/12),Debts!$D$10)+MIN(C42+0,F42*(1+Debts!$C$11/12))*0+MIN(F42*(1+Debts!$C$11/12),Debts!$D$11)+MIN(C42+0,G42*(1+Debts!$C$12/12))*0+MIN(G42*(1+Debts!$C$12/12),Debts!$D$12)+MIN(C42+0,H42*(1+Debts!$C$13/12))*0+MIN(H42*(1+Debts!$C$13/12),Debts!$D$13)+MIN(C42+0,I42*(1+Debts!$C$14/12))*0+MIN(I42*(1+Debts!$C$14/12),Debts!$D$14)+MIN(C42+0,J42*(1+Debts!$C$15/12))*0+MIN(J42*(1+Debts!$C$15/12),Debts!$D$15)))),0)))</f>
        <v>0</v>
      </c>
      <c r="K43" s="22" t="n">
        <f aca="false">IF(C42&gt;0,C42*Debts!$C$8/12,0)+IF(D42&gt;0,D42*Debts!$C$9/12,0)+IF(E42&gt;0,E42*Debts!$C$10/12,0)+IF(F42&gt;0,F42*Debts!$C$11/12,0)+IF(G42&gt;0,G42*Debts!$C$12/12,0)+IF(H42&gt;0,H42*Debts!$C$13/12,0)+IF(I42&gt;0,I42*Debts!$C$14/12,0)+IF(J42&gt;0,J42*Debts!$C$15/12,0)</f>
        <v>16.7368987531023</v>
      </c>
      <c r="L43" s="22" t="n">
        <f aca="false">SUM(C43:J43)</f>
        <v>2468.42389942996</v>
      </c>
    </row>
    <row r="44" customFormat="false" ht="15" hidden="false" customHeight="false" outlineLevel="0" collapsed="false">
      <c r="A44" s="19" t="n">
        <f aca="false">37</f>
        <v>37</v>
      </c>
      <c r="B44" s="27" t="n">
        <f aca="false">IF(L43&lt;=0,0,Debts!$D$16+Debts!$B$4)</f>
        <v>1200</v>
      </c>
      <c r="C44" s="22" t="n">
        <f aca="false">IF(C43&lt;=0,0,MAX(0,C43*(1+Debts!$C$8/12)-MIN(C43*(1+Debts!$C$8/12),Debts!$D$8)-IF(AND(C43&gt;0,Debts!$E$8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D44" s="22" t="n">
        <f aca="false">IF(D43&lt;=0,0,MAX(0,D43*(1+Debts!$C$9/12)-MIN(D43*(1+Debts!$C$9/12),Debts!$D$9)-IF(AND(D43&gt;0,Debts!$E$9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E44" s="22" t="n">
        <f aca="false">IF(E43&lt;=0,0,MAX(0,E43*(1+Debts!$C$10/12)-MIN(E43*(1+Debts!$C$10/12),Debts!$D$10)-IF(AND(E43&gt;0,Debts!$E$10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F44" s="22" t="n">
        <f aca="false">IF(F43&lt;=0,0,MAX(0,F43*(1+Debts!$C$11/12)-MIN(F43*(1+Debts!$C$11/12),Debts!$D$11)-IF(AND(F43&gt;0,Debts!$E$11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1279.73750896902</v>
      </c>
      <c r="G44" s="22" t="n">
        <f aca="false">IF(G43&lt;=0,0,MAX(0,G43*(1+Debts!$C$12/12)-MIN(G43*(1+Debts!$C$12/12),Debts!$D$12)-IF(AND(G43&gt;0,Debts!$E$12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H44" s="22" t="n">
        <f aca="false">IF(H43&lt;=0,0,MAX(0,H43*(1+Debts!$C$13/12)-MIN(H43*(1+Debts!$C$13/12),Debts!$D$13)-IF(AND(H43&gt;0,Debts!$E$13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I44" s="22" t="n">
        <f aca="false">IF(I43&lt;=0,0,MAX(0,I43*(1+Debts!$C$14/12)-MIN(I43*(1+Debts!$C$14/12),Debts!$D$14)-IF(AND(I43&gt;0,Debts!$E$14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J44" s="22" t="n">
        <f aca="false">IF(J43&lt;=0,0,MAX(0,J43*(1+Debts!$C$15/12)-MIN(J43*(1+Debts!$C$15/12),Debts!$D$15)-IF(AND(J43&gt;0,Debts!$E$15=MIN(IF(C43&gt;0,Debts!$E$8,999),IF(D43&gt;0,Debts!$E$9,999),IF(E43&gt;0,Debts!$E$10,999),IF(F43&gt;0,Debts!$E$11,999),IF(G43&gt;0,Debts!$E$12,999),IF(H43&gt;0,Debts!$E$13,999),IF(I43&gt;0,Debts!$E$14,999),IF(J43&gt;0,Debts!$E$15,999))),MAX(0,(B44-(MIN(C43+0,C43*(1+Debts!$C$8/12))*0+MIN(C43*(1+Debts!$C$8/12),Debts!$D$8)+MIN(C43+0,D43*(1+Debts!$C$9/12))*0+MIN(D43*(1+Debts!$C$9/12),Debts!$D$9)+MIN(C43+0,E43*(1+Debts!$C$10/12))*0+MIN(E43*(1+Debts!$C$10/12),Debts!$D$10)+MIN(C43+0,F43*(1+Debts!$C$11/12))*0+MIN(F43*(1+Debts!$C$11/12),Debts!$D$11)+MIN(C43+0,G43*(1+Debts!$C$12/12))*0+MIN(G43*(1+Debts!$C$12/12),Debts!$D$12)+MIN(C43+0,H43*(1+Debts!$C$13/12))*0+MIN(H43*(1+Debts!$C$13/12),Debts!$D$13)+MIN(C43+0,I43*(1+Debts!$C$14/12))*0+MIN(I43*(1+Debts!$C$14/12),Debts!$D$14)+MIN(C43+0,J43*(1+Debts!$C$15/12))*0+MIN(J43*(1+Debts!$C$15/12),Debts!$D$15)))),0)))</f>
        <v>0</v>
      </c>
      <c r="K44" s="22" t="n">
        <f aca="false">IF(C43&gt;0,C43*Debts!$C$8/12,0)+IF(D43&gt;0,D43*Debts!$C$9/12,0)+IF(E43&gt;0,E43*Debts!$C$10/12,0)+IF(F43&gt;0,F43*Debts!$C$11/12,0)+IF(G43&gt;0,G43*Debts!$C$12/12,0)+IF(H43&gt;0,H43*Debts!$C$13/12,0)+IF(I43&gt;0,I43*Debts!$C$14/12,0)+IF(J43&gt;0,J43*Debts!$C$15/12,0)</f>
        <v>11.313609539054</v>
      </c>
      <c r="L44" s="22" t="n">
        <f aca="false">SUM(C44:J44)</f>
        <v>1279.73750896902</v>
      </c>
    </row>
    <row r="45" customFormat="false" ht="15" hidden="false" customHeight="false" outlineLevel="0" collapsed="false">
      <c r="A45" s="19" t="n">
        <f aca="false">38</f>
        <v>38</v>
      </c>
      <c r="B45" s="27" t="n">
        <f aca="false">IF(L44&lt;=0,0,Debts!$D$16+Debts!$B$4)</f>
        <v>1200</v>
      </c>
      <c r="C45" s="22" t="n">
        <f aca="false">IF(C44&lt;=0,0,MAX(0,C44*(1+Debts!$C$8/12)-MIN(C44*(1+Debts!$C$8/12),Debts!$D$8)-IF(AND(C44&gt;0,Debts!$E$8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D45" s="22" t="n">
        <f aca="false">IF(D44&lt;=0,0,MAX(0,D44*(1+Debts!$C$9/12)-MIN(D44*(1+Debts!$C$9/12),Debts!$D$9)-IF(AND(D44&gt;0,Debts!$E$9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E45" s="22" t="n">
        <f aca="false">IF(E44&lt;=0,0,MAX(0,E44*(1+Debts!$C$10/12)-MIN(E44*(1+Debts!$C$10/12),Debts!$D$10)-IF(AND(E44&gt;0,Debts!$E$10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F45" s="22" t="n">
        <f aca="false">IF(F44&lt;=0,0,MAX(0,F44*(1+Debts!$C$11/12)-MIN(F44*(1+Debts!$C$11/12),Debts!$D$11)-IF(AND(F44&gt;0,Debts!$E$11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85.6029725517929</v>
      </c>
      <c r="G45" s="22" t="n">
        <f aca="false">IF(G44&lt;=0,0,MAX(0,G44*(1+Debts!$C$12/12)-MIN(G44*(1+Debts!$C$12/12),Debts!$D$12)-IF(AND(G44&gt;0,Debts!$E$12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H45" s="22" t="n">
        <f aca="false">IF(H44&lt;=0,0,MAX(0,H44*(1+Debts!$C$13/12)-MIN(H44*(1+Debts!$C$13/12),Debts!$D$13)-IF(AND(H44&gt;0,Debts!$E$13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I45" s="22" t="n">
        <f aca="false">IF(I44&lt;=0,0,MAX(0,I44*(1+Debts!$C$14/12)-MIN(I44*(1+Debts!$C$14/12),Debts!$D$14)-IF(AND(I44&gt;0,Debts!$E$14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J45" s="22" t="n">
        <f aca="false">IF(J44&lt;=0,0,MAX(0,J44*(1+Debts!$C$15/12)-MIN(J44*(1+Debts!$C$15/12),Debts!$D$15)-IF(AND(J44&gt;0,Debts!$E$15=MIN(IF(C44&gt;0,Debts!$E$8,999),IF(D44&gt;0,Debts!$E$9,999),IF(E44&gt;0,Debts!$E$10,999),IF(F44&gt;0,Debts!$E$11,999),IF(G44&gt;0,Debts!$E$12,999),IF(H44&gt;0,Debts!$E$13,999),IF(I44&gt;0,Debts!$E$14,999),IF(J44&gt;0,Debts!$E$15,999))),MAX(0,(B45-(MIN(C44+0,C44*(1+Debts!$C$8/12))*0+MIN(C44*(1+Debts!$C$8/12),Debts!$D$8)+MIN(C44+0,D44*(1+Debts!$C$9/12))*0+MIN(D44*(1+Debts!$C$9/12),Debts!$D$9)+MIN(C44+0,E44*(1+Debts!$C$10/12))*0+MIN(E44*(1+Debts!$C$10/12),Debts!$D$10)+MIN(C44+0,F44*(1+Debts!$C$11/12))*0+MIN(F44*(1+Debts!$C$11/12),Debts!$D$11)+MIN(C44+0,G44*(1+Debts!$C$12/12))*0+MIN(G44*(1+Debts!$C$12/12),Debts!$D$12)+MIN(C44+0,H44*(1+Debts!$C$13/12))*0+MIN(H44*(1+Debts!$C$13/12),Debts!$D$13)+MIN(C44+0,I44*(1+Debts!$C$14/12))*0+MIN(I44*(1+Debts!$C$14/12),Debts!$D$14)+MIN(C44+0,J44*(1+Debts!$C$15/12))*0+MIN(J44*(1+Debts!$C$15/12),Debts!$D$15)))),0)))</f>
        <v>0</v>
      </c>
      <c r="K45" s="22" t="n">
        <f aca="false">IF(C44&gt;0,C44*Debts!$C$8/12,0)+IF(D44&gt;0,D44*Debts!$C$9/12,0)+IF(E44&gt;0,E44*Debts!$C$10/12,0)+IF(F44&gt;0,F44*Debts!$C$11/12,0)+IF(G44&gt;0,G44*Debts!$C$12/12,0)+IF(H44&gt;0,H44*Debts!$C$13/12,0)+IF(I44&gt;0,I44*Debts!$C$14/12,0)+IF(J44&gt;0,J44*Debts!$C$15/12,0)</f>
        <v>5.86546358277467</v>
      </c>
      <c r="L45" s="22" t="n">
        <f aca="false">SUM(C45:J45)</f>
        <v>85.6029725517929</v>
      </c>
    </row>
    <row r="46" customFormat="false" ht="15" hidden="false" customHeight="false" outlineLevel="0" collapsed="false">
      <c r="A46" s="19" t="n">
        <f aca="false">39</f>
        <v>39</v>
      </c>
      <c r="B46" s="27" t="n">
        <f aca="false">IF(L45&lt;=0,0,Debts!$D$16+Debts!$B$4)</f>
        <v>1200</v>
      </c>
      <c r="C46" s="22" t="n">
        <f aca="false">IF(C45&lt;=0,0,MAX(0,C45*(1+Debts!$C$8/12)-MIN(C45*(1+Debts!$C$8/12),Debts!$D$8)-IF(AND(C45&gt;0,Debts!$E$8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D46" s="22" t="n">
        <f aca="false">IF(D45&lt;=0,0,MAX(0,D45*(1+Debts!$C$9/12)-MIN(D45*(1+Debts!$C$9/12),Debts!$D$9)-IF(AND(D45&gt;0,Debts!$E$9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E46" s="22" t="n">
        <f aca="false">IF(E45&lt;=0,0,MAX(0,E45*(1+Debts!$C$10/12)-MIN(E45*(1+Debts!$C$10/12),Debts!$D$10)-IF(AND(E45&gt;0,Debts!$E$10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F46" s="22" t="n">
        <f aca="false">IF(F45&lt;=0,0,MAX(0,F45*(1+Debts!$C$11/12)-MIN(F45*(1+Debts!$C$11/12),Debts!$D$11)-IF(AND(F45&gt;0,Debts!$E$11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G46" s="22" t="n">
        <f aca="false">IF(G45&lt;=0,0,MAX(0,G45*(1+Debts!$C$12/12)-MIN(G45*(1+Debts!$C$12/12),Debts!$D$12)-IF(AND(G45&gt;0,Debts!$E$12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H46" s="22" t="n">
        <f aca="false">IF(H45&lt;=0,0,MAX(0,H45*(1+Debts!$C$13/12)-MIN(H45*(1+Debts!$C$13/12),Debts!$D$13)-IF(AND(H45&gt;0,Debts!$E$13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I46" s="22" t="n">
        <f aca="false">IF(I45&lt;=0,0,MAX(0,I45*(1+Debts!$C$14/12)-MIN(I45*(1+Debts!$C$14/12),Debts!$D$14)-IF(AND(I45&gt;0,Debts!$E$14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J46" s="22" t="n">
        <f aca="false">IF(J45&lt;=0,0,MAX(0,J45*(1+Debts!$C$15/12)-MIN(J45*(1+Debts!$C$15/12),Debts!$D$15)-IF(AND(J45&gt;0,Debts!$E$15=MIN(IF(C45&gt;0,Debts!$E$8,999),IF(D45&gt;0,Debts!$E$9,999),IF(E45&gt;0,Debts!$E$10,999),IF(F45&gt;0,Debts!$E$11,999),IF(G45&gt;0,Debts!$E$12,999),IF(H45&gt;0,Debts!$E$13,999),IF(I45&gt;0,Debts!$E$14,999),IF(J45&gt;0,Debts!$E$15,999))),MAX(0,(B46-(MIN(C45+0,C45*(1+Debts!$C$8/12))*0+MIN(C45*(1+Debts!$C$8/12),Debts!$D$8)+MIN(C45+0,D45*(1+Debts!$C$9/12))*0+MIN(D45*(1+Debts!$C$9/12),Debts!$D$9)+MIN(C45+0,E45*(1+Debts!$C$10/12))*0+MIN(E45*(1+Debts!$C$10/12),Debts!$D$10)+MIN(C45+0,F45*(1+Debts!$C$11/12))*0+MIN(F45*(1+Debts!$C$11/12),Debts!$D$11)+MIN(C45+0,G45*(1+Debts!$C$12/12))*0+MIN(G45*(1+Debts!$C$12/12),Debts!$D$12)+MIN(C45+0,H45*(1+Debts!$C$13/12))*0+MIN(H45*(1+Debts!$C$13/12),Debts!$D$13)+MIN(C45+0,I45*(1+Debts!$C$14/12))*0+MIN(I45*(1+Debts!$C$14/12),Debts!$D$14)+MIN(C45+0,J45*(1+Debts!$C$15/12))*0+MIN(J45*(1+Debts!$C$15/12),Debts!$D$15)))),0)))</f>
        <v>0</v>
      </c>
      <c r="K46" s="22" t="n">
        <f aca="false">IF(C45&gt;0,C45*Debts!$C$8/12,0)+IF(D45&gt;0,D45*Debts!$C$9/12,0)+IF(E45&gt;0,E45*Debts!$C$10/12,0)+IF(F45&gt;0,F45*Debts!$C$11/12,0)+IF(G45&gt;0,G45*Debts!$C$12/12,0)+IF(H45&gt;0,H45*Debts!$C$13/12,0)+IF(I45&gt;0,I45*Debts!$C$14/12,0)+IF(J45&gt;0,J45*Debts!$C$15/12,0)</f>
        <v>0.392346957529051</v>
      </c>
      <c r="L46" s="22" t="n">
        <f aca="false">SUM(C46:J46)</f>
        <v>0</v>
      </c>
    </row>
    <row r="47" customFormat="false" ht="15" hidden="false" customHeight="false" outlineLevel="0" collapsed="false">
      <c r="A47" s="19" t="n">
        <f aca="false">40</f>
        <v>40</v>
      </c>
      <c r="B47" s="27" t="n">
        <f aca="false">IF(L46&lt;=0,0,Debts!$D$16+Debts!$B$4)</f>
        <v>0</v>
      </c>
      <c r="C47" s="22" t="n">
        <f aca="false">IF(C46&lt;=0,0,MAX(0,C46*(1+Debts!$C$8/12)-MIN(C46*(1+Debts!$C$8/12),Debts!$D$8)-IF(AND(C46&gt;0,Debts!$E$8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D47" s="22" t="n">
        <f aca="false">IF(D46&lt;=0,0,MAX(0,D46*(1+Debts!$C$9/12)-MIN(D46*(1+Debts!$C$9/12),Debts!$D$9)-IF(AND(D46&gt;0,Debts!$E$9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E47" s="22" t="n">
        <f aca="false">IF(E46&lt;=0,0,MAX(0,E46*(1+Debts!$C$10/12)-MIN(E46*(1+Debts!$C$10/12),Debts!$D$10)-IF(AND(E46&gt;0,Debts!$E$10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F47" s="22" t="n">
        <f aca="false">IF(F46&lt;=0,0,MAX(0,F46*(1+Debts!$C$11/12)-MIN(F46*(1+Debts!$C$11/12),Debts!$D$11)-IF(AND(F46&gt;0,Debts!$E$11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G47" s="22" t="n">
        <f aca="false">IF(G46&lt;=0,0,MAX(0,G46*(1+Debts!$C$12/12)-MIN(G46*(1+Debts!$C$12/12),Debts!$D$12)-IF(AND(G46&gt;0,Debts!$E$12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H47" s="22" t="n">
        <f aca="false">IF(H46&lt;=0,0,MAX(0,H46*(1+Debts!$C$13/12)-MIN(H46*(1+Debts!$C$13/12),Debts!$D$13)-IF(AND(H46&gt;0,Debts!$E$13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I47" s="22" t="n">
        <f aca="false">IF(I46&lt;=0,0,MAX(0,I46*(1+Debts!$C$14/12)-MIN(I46*(1+Debts!$C$14/12),Debts!$D$14)-IF(AND(I46&gt;0,Debts!$E$14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J47" s="22" t="n">
        <f aca="false">IF(J46&lt;=0,0,MAX(0,J46*(1+Debts!$C$15/12)-MIN(J46*(1+Debts!$C$15/12),Debts!$D$15)-IF(AND(J46&gt;0,Debts!$E$15=MIN(IF(C46&gt;0,Debts!$E$8,999),IF(D46&gt;0,Debts!$E$9,999),IF(E46&gt;0,Debts!$E$10,999),IF(F46&gt;0,Debts!$E$11,999),IF(G46&gt;0,Debts!$E$12,999),IF(H46&gt;0,Debts!$E$13,999),IF(I46&gt;0,Debts!$E$14,999),IF(J46&gt;0,Debts!$E$15,999))),MAX(0,(B47-(MIN(C46+0,C46*(1+Debts!$C$8/12))*0+MIN(C46*(1+Debts!$C$8/12),Debts!$D$8)+MIN(C46+0,D46*(1+Debts!$C$9/12))*0+MIN(D46*(1+Debts!$C$9/12),Debts!$D$9)+MIN(C46+0,E46*(1+Debts!$C$10/12))*0+MIN(E46*(1+Debts!$C$10/12),Debts!$D$10)+MIN(C46+0,F46*(1+Debts!$C$11/12))*0+MIN(F46*(1+Debts!$C$11/12),Debts!$D$11)+MIN(C46+0,G46*(1+Debts!$C$12/12))*0+MIN(G46*(1+Debts!$C$12/12),Debts!$D$12)+MIN(C46+0,H46*(1+Debts!$C$13/12))*0+MIN(H46*(1+Debts!$C$13/12),Debts!$D$13)+MIN(C46+0,I46*(1+Debts!$C$14/12))*0+MIN(I46*(1+Debts!$C$14/12),Debts!$D$14)+MIN(C46+0,J46*(1+Debts!$C$15/12))*0+MIN(J46*(1+Debts!$C$15/12),Debts!$D$15)))),0)))</f>
        <v>0</v>
      </c>
      <c r="K47" s="22" t="n">
        <f aca="false">IF(C46&gt;0,C46*Debts!$C$8/12,0)+IF(D46&gt;0,D46*Debts!$C$9/12,0)+IF(E46&gt;0,E46*Debts!$C$10/12,0)+IF(F46&gt;0,F46*Debts!$C$11/12,0)+IF(G46&gt;0,G46*Debts!$C$12/12,0)+IF(H46&gt;0,H46*Debts!$C$13/12,0)+IF(I46&gt;0,I46*Debts!$C$14/12,0)+IF(J46&gt;0,J46*Debts!$C$15/12,0)</f>
        <v>0</v>
      </c>
      <c r="L47" s="22" t="n">
        <f aca="false">SUM(C47:J47)</f>
        <v>0</v>
      </c>
    </row>
    <row r="48" customFormat="false" ht="15" hidden="false" customHeight="false" outlineLevel="0" collapsed="false">
      <c r="A48" s="19" t="n">
        <f aca="false">41</f>
        <v>41</v>
      </c>
      <c r="B48" s="27" t="n">
        <f aca="false">IF(L47&lt;=0,0,Debts!$D$16+Debts!$B$4)</f>
        <v>0</v>
      </c>
      <c r="C48" s="22" t="n">
        <f aca="false">IF(C47&lt;=0,0,MAX(0,C47*(1+Debts!$C$8/12)-MIN(C47*(1+Debts!$C$8/12),Debts!$D$8)-IF(AND(C47&gt;0,Debts!$E$8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D48" s="22" t="n">
        <f aca="false">IF(D47&lt;=0,0,MAX(0,D47*(1+Debts!$C$9/12)-MIN(D47*(1+Debts!$C$9/12),Debts!$D$9)-IF(AND(D47&gt;0,Debts!$E$9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E48" s="22" t="n">
        <f aca="false">IF(E47&lt;=0,0,MAX(0,E47*(1+Debts!$C$10/12)-MIN(E47*(1+Debts!$C$10/12),Debts!$D$10)-IF(AND(E47&gt;0,Debts!$E$10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F48" s="22" t="n">
        <f aca="false">IF(F47&lt;=0,0,MAX(0,F47*(1+Debts!$C$11/12)-MIN(F47*(1+Debts!$C$11/12),Debts!$D$11)-IF(AND(F47&gt;0,Debts!$E$11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G48" s="22" t="n">
        <f aca="false">IF(G47&lt;=0,0,MAX(0,G47*(1+Debts!$C$12/12)-MIN(G47*(1+Debts!$C$12/12),Debts!$D$12)-IF(AND(G47&gt;0,Debts!$E$12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H48" s="22" t="n">
        <f aca="false">IF(H47&lt;=0,0,MAX(0,H47*(1+Debts!$C$13/12)-MIN(H47*(1+Debts!$C$13/12),Debts!$D$13)-IF(AND(H47&gt;0,Debts!$E$13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I48" s="22" t="n">
        <f aca="false">IF(I47&lt;=0,0,MAX(0,I47*(1+Debts!$C$14/12)-MIN(I47*(1+Debts!$C$14/12),Debts!$D$14)-IF(AND(I47&gt;0,Debts!$E$14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J48" s="22" t="n">
        <f aca="false">IF(J47&lt;=0,0,MAX(0,J47*(1+Debts!$C$15/12)-MIN(J47*(1+Debts!$C$15/12),Debts!$D$15)-IF(AND(J47&gt;0,Debts!$E$15=MIN(IF(C47&gt;0,Debts!$E$8,999),IF(D47&gt;0,Debts!$E$9,999),IF(E47&gt;0,Debts!$E$10,999),IF(F47&gt;0,Debts!$E$11,999),IF(G47&gt;0,Debts!$E$12,999),IF(H47&gt;0,Debts!$E$13,999),IF(I47&gt;0,Debts!$E$14,999),IF(J47&gt;0,Debts!$E$15,999))),MAX(0,(B48-(MIN(C47+0,C47*(1+Debts!$C$8/12))*0+MIN(C47*(1+Debts!$C$8/12),Debts!$D$8)+MIN(C47+0,D47*(1+Debts!$C$9/12))*0+MIN(D47*(1+Debts!$C$9/12),Debts!$D$9)+MIN(C47+0,E47*(1+Debts!$C$10/12))*0+MIN(E47*(1+Debts!$C$10/12),Debts!$D$10)+MIN(C47+0,F47*(1+Debts!$C$11/12))*0+MIN(F47*(1+Debts!$C$11/12),Debts!$D$11)+MIN(C47+0,G47*(1+Debts!$C$12/12))*0+MIN(G47*(1+Debts!$C$12/12),Debts!$D$12)+MIN(C47+0,H47*(1+Debts!$C$13/12))*0+MIN(H47*(1+Debts!$C$13/12),Debts!$D$13)+MIN(C47+0,I47*(1+Debts!$C$14/12))*0+MIN(I47*(1+Debts!$C$14/12),Debts!$D$14)+MIN(C47+0,J47*(1+Debts!$C$15/12))*0+MIN(J47*(1+Debts!$C$15/12),Debts!$D$15)))),0)))</f>
        <v>0</v>
      </c>
      <c r="K48" s="22" t="n">
        <f aca="false">IF(C47&gt;0,C47*Debts!$C$8/12,0)+IF(D47&gt;0,D47*Debts!$C$9/12,0)+IF(E47&gt;0,E47*Debts!$C$10/12,0)+IF(F47&gt;0,F47*Debts!$C$11/12,0)+IF(G47&gt;0,G47*Debts!$C$12/12,0)+IF(H47&gt;0,H47*Debts!$C$13/12,0)+IF(I47&gt;0,I47*Debts!$C$14/12,0)+IF(J47&gt;0,J47*Debts!$C$15/12,0)</f>
        <v>0</v>
      </c>
      <c r="L48" s="22" t="n">
        <f aca="false">SUM(C48:J48)</f>
        <v>0</v>
      </c>
    </row>
    <row r="49" customFormat="false" ht="15" hidden="false" customHeight="false" outlineLevel="0" collapsed="false">
      <c r="A49" s="19" t="n">
        <f aca="false">42</f>
        <v>42</v>
      </c>
      <c r="B49" s="27" t="n">
        <f aca="false">IF(L48&lt;=0,0,Debts!$D$16+Debts!$B$4)</f>
        <v>0</v>
      </c>
      <c r="C49" s="22" t="n">
        <f aca="false">IF(C48&lt;=0,0,MAX(0,C48*(1+Debts!$C$8/12)-MIN(C48*(1+Debts!$C$8/12),Debts!$D$8)-IF(AND(C48&gt;0,Debts!$E$8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D49" s="22" t="n">
        <f aca="false">IF(D48&lt;=0,0,MAX(0,D48*(1+Debts!$C$9/12)-MIN(D48*(1+Debts!$C$9/12),Debts!$D$9)-IF(AND(D48&gt;0,Debts!$E$9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E49" s="22" t="n">
        <f aca="false">IF(E48&lt;=0,0,MAX(0,E48*(1+Debts!$C$10/12)-MIN(E48*(1+Debts!$C$10/12),Debts!$D$10)-IF(AND(E48&gt;0,Debts!$E$10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F49" s="22" t="n">
        <f aca="false">IF(F48&lt;=0,0,MAX(0,F48*(1+Debts!$C$11/12)-MIN(F48*(1+Debts!$C$11/12),Debts!$D$11)-IF(AND(F48&gt;0,Debts!$E$11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G49" s="22" t="n">
        <f aca="false">IF(G48&lt;=0,0,MAX(0,G48*(1+Debts!$C$12/12)-MIN(G48*(1+Debts!$C$12/12),Debts!$D$12)-IF(AND(G48&gt;0,Debts!$E$12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H49" s="22" t="n">
        <f aca="false">IF(H48&lt;=0,0,MAX(0,H48*(1+Debts!$C$13/12)-MIN(H48*(1+Debts!$C$13/12),Debts!$D$13)-IF(AND(H48&gt;0,Debts!$E$13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I49" s="22" t="n">
        <f aca="false">IF(I48&lt;=0,0,MAX(0,I48*(1+Debts!$C$14/12)-MIN(I48*(1+Debts!$C$14/12),Debts!$D$14)-IF(AND(I48&gt;0,Debts!$E$14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J49" s="22" t="n">
        <f aca="false">IF(J48&lt;=0,0,MAX(0,J48*(1+Debts!$C$15/12)-MIN(J48*(1+Debts!$C$15/12),Debts!$D$15)-IF(AND(J48&gt;0,Debts!$E$15=MIN(IF(C48&gt;0,Debts!$E$8,999),IF(D48&gt;0,Debts!$E$9,999),IF(E48&gt;0,Debts!$E$10,999),IF(F48&gt;0,Debts!$E$11,999),IF(G48&gt;0,Debts!$E$12,999),IF(H48&gt;0,Debts!$E$13,999),IF(I48&gt;0,Debts!$E$14,999),IF(J48&gt;0,Debts!$E$15,999))),MAX(0,(B49-(MIN(C48+0,C48*(1+Debts!$C$8/12))*0+MIN(C48*(1+Debts!$C$8/12),Debts!$D$8)+MIN(C48+0,D48*(1+Debts!$C$9/12))*0+MIN(D48*(1+Debts!$C$9/12),Debts!$D$9)+MIN(C48+0,E48*(1+Debts!$C$10/12))*0+MIN(E48*(1+Debts!$C$10/12),Debts!$D$10)+MIN(C48+0,F48*(1+Debts!$C$11/12))*0+MIN(F48*(1+Debts!$C$11/12),Debts!$D$11)+MIN(C48+0,G48*(1+Debts!$C$12/12))*0+MIN(G48*(1+Debts!$C$12/12),Debts!$D$12)+MIN(C48+0,H48*(1+Debts!$C$13/12))*0+MIN(H48*(1+Debts!$C$13/12),Debts!$D$13)+MIN(C48+0,I48*(1+Debts!$C$14/12))*0+MIN(I48*(1+Debts!$C$14/12),Debts!$D$14)+MIN(C48+0,J48*(1+Debts!$C$15/12))*0+MIN(J48*(1+Debts!$C$15/12),Debts!$D$15)))),0)))</f>
        <v>0</v>
      </c>
      <c r="K49" s="22" t="n">
        <f aca="false">IF(C48&gt;0,C48*Debts!$C$8/12,0)+IF(D48&gt;0,D48*Debts!$C$9/12,0)+IF(E48&gt;0,E48*Debts!$C$10/12,0)+IF(F48&gt;0,F48*Debts!$C$11/12,0)+IF(G48&gt;0,G48*Debts!$C$12/12,0)+IF(H48&gt;0,H48*Debts!$C$13/12,0)+IF(I48&gt;0,I48*Debts!$C$14/12,0)+IF(J48&gt;0,J48*Debts!$C$15/12,0)</f>
        <v>0</v>
      </c>
      <c r="L49" s="22" t="n">
        <f aca="false">SUM(C49:J49)</f>
        <v>0</v>
      </c>
    </row>
    <row r="50" customFormat="false" ht="15" hidden="false" customHeight="false" outlineLevel="0" collapsed="false">
      <c r="A50" s="19" t="n">
        <f aca="false">43</f>
        <v>43</v>
      </c>
      <c r="B50" s="27" t="n">
        <f aca="false">IF(L49&lt;=0,0,Debts!$D$16+Debts!$B$4)</f>
        <v>0</v>
      </c>
      <c r="C50" s="22" t="n">
        <f aca="false">IF(C49&lt;=0,0,MAX(0,C49*(1+Debts!$C$8/12)-MIN(C49*(1+Debts!$C$8/12),Debts!$D$8)-IF(AND(C49&gt;0,Debts!$E$8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D50" s="22" t="n">
        <f aca="false">IF(D49&lt;=0,0,MAX(0,D49*(1+Debts!$C$9/12)-MIN(D49*(1+Debts!$C$9/12),Debts!$D$9)-IF(AND(D49&gt;0,Debts!$E$9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E50" s="22" t="n">
        <f aca="false">IF(E49&lt;=0,0,MAX(0,E49*(1+Debts!$C$10/12)-MIN(E49*(1+Debts!$C$10/12),Debts!$D$10)-IF(AND(E49&gt;0,Debts!$E$10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F50" s="22" t="n">
        <f aca="false">IF(F49&lt;=0,0,MAX(0,F49*(1+Debts!$C$11/12)-MIN(F49*(1+Debts!$C$11/12),Debts!$D$11)-IF(AND(F49&gt;0,Debts!$E$11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G50" s="22" t="n">
        <f aca="false">IF(G49&lt;=0,0,MAX(0,G49*(1+Debts!$C$12/12)-MIN(G49*(1+Debts!$C$12/12),Debts!$D$12)-IF(AND(G49&gt;0,Debts!$E$12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H50" s="22" t="n">
        <f aca="false">IF(H49&lt;=0,0,MAX(0,H49*(1+Debts!$C$13/12)-MIN(H49*(1+Debts!$C$13/12),Debts!$D$13)-IF(AND(H49&gt;0,Debts!$E$13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I50" s="22" t="n">
        <f aca="false">IF(I49&lt;=0,0,MAX(0,I49*(1+Debts!$C$14/12)-MIN(I49*(1+Debts!$C$14/12),Debts!$D$14)-IF(AND(I49&gt;0,Debts!$E$14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J50" s="22" t="n">
        <f aca="false">IF(J49&lt;=0,0,MAX(0,J49*(1+Debts!$C$15/12)-MIN(J49*(1+Debts!$C$15/12),Debts!$D$15)-IF(AND(J49&gt;0,Debts!$E$15=MIN(IF(C49&gt;0,Debts!$E$8,999),IF(D49&gt;0,Debts!$E$9,999),IF(E49&gt;0,Debts!$E$10,999),IF(F49&gt;0,Debts!$E$11,999),IF(G49&gt;0,Debts!$E$12,999),IF(H49&gt;0,Debts!$E$13,999),IF(I49&gt;0,Debts!$E$14,999),IF(J49&gt;0,Debts!$E$15,999))),MAX(0,(B50-(MIN(C49+0,C49*(1+Debts!$C$8/12))*0+MIN(C49*(1+Debts!$C$8/12),Debts!$D$8)+MIN(C49+0,D49*(1+Debts!$C$9/12))*0+MIN(D49*(1+Debts!$C$9/12),Debts!$D$9)+MIN(C49+0,E49*(1+Debts!$C$10/12))*0+MIN(E49*(1+Debts!$C$10/12),Debts!$D$10)+MIN(C49+0,F49*(1+Debts!$C$11/12))*0+MIN(F49*(1+Debts!$C$11/12),Debts!$D$11)+MIN(C49+0,G49*(1+Debts!$C$12/12))*0+MIN(G49*(1+Debts!$C$12/12),Debts!$D$12)+MIN(C49+0,H49*(1+Debts!$C$13/12))*0+MIN(H49*(1+Debts!$C$13/12),Debts!$D$13)+MIN(C49+0,I49*(1+Debts!$C$14/12))*0+MIN(I49*(1+Debts!$C$14/12),Debts!$D$14)+MIN(C49+0,J49*(1+Debts!$C$15/12))*0+MIN(J49*(1+Debts!$C$15/12),Debts!$D$15)))),0)))</f>
        <v>0</v>
      </c>
      <c r="K50" s="22" t="n">
        <f aca="false">IF(C49&gt;0,C49*Debts!$C$8/12,0)+IF(D49&gt;0,D49*Debts!$C$9/12,0)+IF(E49&gt;0,E49*Debts!$C$10/12,0)+IF(F49&gt;0,F49*Debts!$C$11/12,0)+IF(G49&gt;0,G49*Debts!$C$12/12,0)+IF(H49&gt;0,H49*Debts!$C$13/12,0)+IF(I49&gt;0,I49*Debts!$C$14/12,0)+IF(J49&gt;0,J49*Debts!$C$15/12,0)</f>
        <v>0</v>
      </c>
      <c r="L50" s="22" t="n">
        <f aca="false">SUM(C50:J50)</f>
        <v>0</v>
      </c>
    </row>
    <row r="51" customFormat="false" ht="15" hidden="false" customHeight="false" outlineLevel="0" collapsed="false">
      <c r="A51" s="19" t="n">
        <f aca="false">44</f>
        <v>44</v>
      </c>
      <c r="B51" s="27" t="n">
        <f aca="false">IF(L50&lt;=0,0,Debts!$D$16+Debts!$B$4)</f>
        <v>0</v>
      </c>
      <c r="C51" s="22" t="n">
        <f aca="false">IF(C50&lt;=0,0,MAX(0,C50*(1+Debts!$C$8/12)-MIN(C50*(1+Debts!$C$8/12),Debts!$D$8)-IF(AND(C50&gt;0,Debts!$E$8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D51" s="22" t="n">
        <f aca="false">IF(D50&lt;=0,0,MAX(0,D50*(1+Debts!$C$9/12)-MIN(D50*(1+Debts!$C$9/12),Debts!$D$9)-IF(AND(D50&gt;0,Debts!$E$9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E51" s="22" t="n">
        <f aca="false">IF(E50&lt;=0,0,MAX(0,E50*(1+Debts!$C$10/12)-MIN(E50*(1+Debts!$C$10/12),Debts!$D$10)-IF(AND(E50&gt;0,Debts!$E$10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F51" s="22" t="n">
        <f aca="false">IF(F50&lt;=0,0,MAX(0,F50*(1+Debts!$C$11/12)-MIN(F50*(1+Debts!$C$11/12),Debts!$D$11)-IF(AND(F50&gt;0,Debts!$E$11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G51" s="22" t="n">
        <f aca="false">IF(G50&lt;=0,0,MAX(0,G50*(1+Debts!$C$12/12)-MIN(G50*(1+Debts!$C$12/12),Debts!$D$12)-IF(AND(G50&gt;0,Debts!$E$12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H51" s="22" t="n">
        <f aca="false">IF(H50&lt;=0,0,MAX(0,H50*(1+Debts!$C$13/12)-MIN(H50*(1+Debts!$C$13/12),Debts!$D$13)-IF(AND(H50&gt;0,Debts!$E$13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I51" s="22" t="n">
        <f aca="false">IF(I50&lt;=0,0,MAX(0,I50*(1+Debts!$C$14/12)-MIN(I50*(1+Debts!$C$14/12),Debts!$D$14)-IF(AND(I50&gt;0,Debts!$E$14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J51" s="22" t="n">
        <f aca="false">IF(J50&lt;=0,0,MAX(0,J50*(1+Debts!$C$15/12)-MIN(J50*(1+Debts!$C$15/12),Debts!$D$15)-IF(AND(J50&gt;0,Debts!$E$15=MIN(IF(C50&gt;0,Debts!$E$8,999),IF(D50&gt;0,Debts!$E$9,999),IF(E50&gt;0,Debts!$E$10,999),IF(F50&gt;0,Debts!$E$11,999),IF(G50&gt;0,Debts!$E$12,999),IF(H50&gt;0,Debts!$E$13,999),IF(I50&gt;0,Debts!$E$14,999),IF(J50&gt;0,Debts!$E$15,999))),MAX(0,(B51-(MIN(C50+0,C50*(1+Debts!$C$8/12))*0+MIN(C50*(1+Debts!$C$8/12),Debts!$D$8)+MIN(C50+0,D50*(1+Debts!$C$9/12))*0+MIN(D50*(1+Debts!$C$9/12),Debts!$D$9)+MIN(C50+0,E50*(1+Debts!$C$10/12))*0+MIN(E50*(1+Debts!$C$10/12),Debts!$D$10)+MIN(C50+0,F50*(1+Debts!$C$11/12))*0+MIN(F50*(1+Debts!$C$11/12),Debts!$D$11)+MIN(C50+0,G50*(1+Debts!$C$12/12))*0+MIN(G50*(1+Debts!$C$12/12),Debts!$D$12)+MIN(C50+0,H50*(1+Debts!$C$13/12))*0+MIN(H50*(1+Debts!$C$13/12),Debts!$D$13)+MIN(C50+0,I50*(1+Debts!$C$14/12))*0+MIN(I50*(1+Debts!$C$14/12),Debts!$D$14)+MIN(C50+0,J50*(1+Debts!$C$15/12))*0+MIN(J50*(1+Debts!$C$15/12),Debts!$D$15)))),0)))</f>
        <v>0</v>
      </c>
      <c r="K51" s="22" t="n">
        <f aca="false">IF(C50&gt;0,C50*Debts!$C$8/12,0)+IF(D50&gt;0,D50*Debts!$C$9/12,0)+IF(E50&gt;0,E50*Debts!$C$10/12,0)+IF(F50&gt;0,F50*Debts!$C$11/12,0)+IF(G50&gt;0,G50*Debts!$C$12/12,0)+IF(H50&gt;0,H50*Debts!$C$13/12,0)+IF(I50&gt;0,I50*Debts!$C$14/12,0)+IF(J50&gt;0,J50*Debts!$C$15/12,0)</f>
        <v>0</v>
      </c>
      <c r="L51" s="22" t="n">
        <f aca="false">SUM(C51:J51)</f>
        <v>0</v>
      </c>
    </row>
    <row r="52" customFormat="false" ht="15" hidden="false" customHeight="false" outlineLevel="0" collapsed="false">
      <c r="A52" s="19" t="n">
        <f aca="false">45</f>
        <v>45</v>
      </c>
      <c r="B52" s="27" t="n">
        <f aca="false">IF(L51&lt;=0,0,Debts!$D$16+Debts!$B$4)</f>
        <v>0</v>
      </c>
      <c r="C52" s="22" t="n">
        <f aca="false">IF(C51&lt;=0,0,MAX(0,C51*(1+Debts!$C$8/12)-MIN(C51*(1+Debts!$C$8/12),Debts!$D$8)-IF(AND(C51&gt;0,Debts!$E$8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D52" s="22" t="n">
        <f aca="false">IF(D51&lt;=0,0,MAX(0,D51*(1+Debts!$C$9/12)-MIN(D51*(1+Debts!$C$9/12),Debts!$D$9)-IF(AND(D51&gt;0,Debts!$E$9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E52" s="22" t="n">
        <f aca="false">IF(E51&lt;=0,0,MAX(0,E51*(1+Debts!$C$10/12)-MIN(E51*(1+Debts!$C$10/12),Debts!$D$10)-IF(AND(E51&gt;0,Debts!$E$10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F52" s="22" t="n">
        <f aca="false">IF(F51&lt;=0,0,MAX(0,F51*(1+Debts!$C$11/12)-MIN(F51*(1+Debts!$C$11/12),Debts!$D$11)-IF(AND(F51&gt;0,Debts!$E$11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G52" s="22" t="n">
        <f aca="false">IF(G51&lt;=0,0,MAX(0,G51*(1+Debts!$C$12/12)-MIN(G51*(1+Debts!$C$12/12),Debts!$D$12)-IF(AND(G51&gt;0,Debts!$E$12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H52" s="22" t="n">
        <f aca="false">IF(H51&lt;=0,0,MAX(0,H51*(1+Debts!$C$13/12)-MIN(H51*(1+Debts!$C$13/12),Debts!$D$13)-IF(AND(H51&gt;0,Debts!$E$13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I52" s="22" t="n">
        <f aca="false">IF(I51&lt;=0,0,MAX(0,I51*(1+Debts!$C$14/12)-MIN(I51*(1+Debts!$C$14/12),Debts!$D$14)-IF(AND(I51&gt;0,Debts!$E$14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J52" s="22" t="n">
        <f aca="false">IF(J51&lt;=0,0,MAX(0,J51*(1+Debts!$C$15/12)-MIN(J51*(1+Debts!$C$15/12),Debts!$D$15)-IF(AND(J51&gt;0,Debts!$E$15=MIN(IF(C51&gt;0,Debts!$E$8,999),IF(D51&gt;0,Debts!$E$9,999),IF(E51&gt;0,Debts!$E$10,999),IF(F51&gt;0,Debts!$E$11,999),IF(G51&gt;0,Debts!$E$12,999),IF(H51&gt;0,Debts!$E$13,999),IF(I51&gt;0,Debts!$E$14,999),IF(J51&gt;0,Debts!$E$15,999))),MAX(0,(B52-(MIN(C51+0,C51*(1+Debts!$C$8/12))*0+MIN(C51*(1+Debts!$C$8/12),Debts!$D$8)+MIN(C51+0,D51*(1+Debts!$C$9/12))*0+MIN(D51*(1+Debts!$C$9/12),Debts!$D$9)+MIN(C51+0,E51*(1+Debts!$C$10/12))*0+MIN(E51*(1+Debts!$C$10/12),Debts!$D$10)+MIN(C51+0,F51*(1+Debts!$C$11/12))*0+MIN(F51*(1+Debts!$C$11/12),Debts!$D$11)+MIN(C51+0,G51*(1+Debts!$C$12/12))*0+MIN(G51*(1+Debts!$C$12/12),Debts!$D$12)+MIN(C51+0,H51*(1+Debts!$C$13/12))*0+MIN(H51*(1+Debts!$C$13/12),Debts!$D$13)+MIN(C51+0,I51*(1+Debts!$C$14/12))*0+MIN(I51*(1+Debts!$C$14/12),Debts!$D$14)+MIN(C51+0,J51*(1+Debts!$C$15/12))*0+MIN(J51*(1+Debts!$C$15/12),Debts!$D$15)))),0)))</f>
        <v>0</v>
      </c>
      <c r="K52" s="22" t="n">
        <f aca="false">IF(C51&gt;0,C51*Debts!$C$8/12,0)+IF(D51&gt;0,D51*Debts!$C$9/12,0)+IF(E51&gt;0,E51*Debts!$C$10/12,0)+IF(F51&gt;0,F51*Debts!$C$11/12,0)+IF(G51&gt;0,G51*Debts!$C$12/12,0)+IF(H51&gt;0,H51*Debts!$C$13/12,0)+IF(I51&gt;0,I51*Debts!$C$14/12,0)+IF(J51&gt;0,J51*Debts!$C$15/12,0)</f>
        <v>0</v>
      </c>
      <c r="L52" s="22" t="n">
        <f aca="false">SUM(C52:J52)</f>
        <v>0</v>
      </c>
    </row>
    <row r="53" customFormat="false" ht="15" hidden="false" customHeight="false" outlineLevel="0" collapsed="false">
      <c r="A53" s="19" t="n">
        <f aca="false">46</f>
        <v>46</v>
      </c>
      <c r="B53" s="27" t="n">
        <f aca="false">IF(L52&lt;=0,0,Debts!$D$16+Debts!$B$4)</f>
        <v>0</v>
      </c>
      <c r="C53" s="22" t="n">
        <f aca="false">IF(C52&lt;=0,0,MAX(0,C52*(1+Debts!$C$8/12)-MIN(C52*(1+Debts!$C$8/12),Debts!$D$8)-IF(AND(C52&gt;0,Debts!$E$8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D53" s="22" t="n">
        <f aca="false">IF(D52&lt;=0,0,MAX(0,D52*(1+Debts!$C$9/12)-MIN(D52*(1+Debts!$C$9/12),Debts!$D$9)-IF(AND(D52&gt;0,Debts!$E$9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E53" s="22" t="n">
        <f aca="false">IF(E52&lt;=0,0,MAX(0,E52*(1+Debts!$C$10/12)-MIN(E52*(1+Debts!$C$10/12),Debts!$D$10)-IF(AND(E52&gt;0,Debts!$E$10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F53" s="22" t="n">
        <f aca="false">IF(F52&lt;=0,0,MAX(0,F52*(1+Debts!$C$11/12)-MIN(F52*(1+Debts!$C$11/12),Debts!$D$11)-IF(AND(F52&gt;0,Debts!$E$11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G53" s="22" t="n">
        <f aca="false">IF(G52&lt;=0,0,MAX(0,G52*(1+Debts!$C$12/12)-MIN(G52*(1+Debts!$C$12/12),Debts!$D$12)-IF(AND(G52&gt;0,Debts!$E$12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H53" s="22" t="n">
        <f aca="false">IF(H52&lt;=0,0,MAX(0,H52*(1+Debts!$C$13/12)-MIN(H52*(1+Debts!$C$13/12),Debts!$D$13)-IF(AND(H52&gt;0,Debts!$E$13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I53" s="22" t="n">
        <f aca="false">IF(I52&lt;=0,0,MAX(0,I52*(1+Debts!$C$14/12)-MIN(I52*(1+Debts!$C$14/12),Debts!$D$14)-IF(AND(I52&gt;0,Debts!$E$14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J53" s="22" t="n">
        <f aca="false">IF(J52&lt;=0,0,MAX(0,J52*(1+Debts!$C$15/12)-MIN(J52*(1+Debts!$C$15/12),Debts!$D$15)-IF(AND(J52&gt;0,Debts!$E$15=MIN(IF(C52&gt;0,Debts!$E$8,999),IF(D52&gt;0,Debts!$E$9,999),IF(E52&gt;0,Debts!$E$10,999),IF(F52&gt;0,Debts!$E$11,999),IF(G52&gt;0,Debts!$E$12,999),IF(H52&gt;0,Debts!$E$13,999),IF(I52&gt;0,Debts!$E$14,999),IF(J52&gt;0,Debts!$E$15,999))),MAX(0,(B53-(MIN(C52+0,C52*(1+Debts!$C$8/12))*0+MIN(C52*(1+Debts!$C$8/12),Debts!$D$8)+MIN(C52+0,D52*(1+Debts!$C$9/12))*0+MIN(D52*(1+Debts!$C$9/12),Debts!$D$9)+MIN(C52+0,E52*(1+Debts!$C$10/12))*0+MIN(E52*(1+Debts!$C$10/12),Debts!$D$10)+MIN(C52+0,F52*(1+Debts!$C$11/12))*0+MIN(F52*(1+Debts!$C$11/12),Debts!$D$11)+MIN(C52+0,G52*(1+Debts!$C$12/12))*0+MIN(G52*(1+Debts!$C$12/12),Debts!$D$12)+MIN(C52+0,H52*(1+Debts!$C$13/12))*0+MIN(H52*(1+Debts!$C$13/12),Debts!$D$13)+MIN(C52+0,I52*(1+Debts!$C$14/12))*0+MIN(I52*(1+Debts!$C$14/12),Debts!$D$14)+MIN(C52+0,J52*(1+Debts!$C$15/12))*0+MIN(J52*(1+Debts!$C$15/12),Debts!$D$15)))),0)))</f>
        <v>0</v>
      </c>
      <c r="K53" s="22" t="n">
        <f aca="false">IF(C52&gt;0,C52*Debts!$C$8/12,0)+IF(D52&gt;0,D52*Debts!$C$9/12,0)+IF(E52&gt;0,E52*Debts!$C$10/12,0)+IF(F52&gt;0,F52*Debts!$C$11/12,0)+IF(G52&gt;0,G52*Debts!$C$12/12,0)+IF(H52&gt;0,H52*Debts!$C$13/12,0)+IF(I52&gt;0,I52*Debts!$C$14/12,0)+IF(J52&gt;0,J52*Debts!$C$15/12,0)</f>
        <v>0</v>
      </c>
      <c r="L53" s="22" t="n">
        <f aca="false">SUM(C53:J53)</f>
        <v>0</v>
      </c>
    </row>
    <row r="54" customFormat="false" ht="15" hidden="false" customHeight="false" outlineLevel="0" collapsed="false">
      <c r="A54" s="19" t="n">
        <f aca="false">47</f>
        <v>47</v>
      </c>
      <c r="B54" s="27" t="n">
        <f aca="false">IF(L53&lt;=0,0,Debts!$D$16+Debts!$B$4)</f>
        <v>0</v>
      </c>
      <c r="C54" s="22" t="n">
        <f aca="false">IF(C53&lt;=0,0,MAX(0,C53*(1+Debts!$C$8/12)-MIN(C53*(1+Debts!$C$8/12),Debts!$D$8)-IF(AND(C53&gt;0,Debts!$E$8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D54" s="22" t="n">
        <f aca="false">IF(D53&lt;=0,0,MAX(0,D53*(1+Debts!$C$9/12)-MIN(D53*(1+Debts!$C$9/12),Debts!$D$9)-IF(AND(D53&gt;0,Debts!$E$9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E54" s="22" t="n">
        <f aca="false">IF(E53&lt;=0,0,MAX(0,E53*(1+Debts!$C$10/12)-MIN(E53*(1+Debts!$C$10/12),Debts!$D$10)-IF(AND(E53&gt;0,Debts!$E$10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F54" s="22" t="n">
        <f aca="false">IF(F53&lt;=0,0,MAX(0,F53*(1+Debts!$C$11/12)-MIN(F53*(1+Debts!$C$11/12),Debts!$D$11)-IF(AND(F53&gt;0,Debts!$E$11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G54" s="22" t="n">
        <f aca="false">IF(G53&lt;=0,0,MAX(0,G53*(1+Debts!$C$12/12)-MIN(G53*(1+Debts!$C$12/12),Debts!$D$12)-IF(AND(G53&gt;0,Debts!$E$12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H54" s="22" t="n">
        <f aca="false">IF(H53&lt;=0,0,MAX(0,H53*(1+Debts!$C$13/12)-MIN(H53*(1+Debts!$C$13/12),Debts!$D$13)-IF(AND(H53&gt;0,Debts!$E$13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I54" s="22" t="n">
        <f aca="false">IF(I53&lt;=0,0,MAX(0,I53*(1+Debts!$C$14/12)-MIN(I53*(1+Debts!$C$14/12),Debts!$D$14)-IF(AND(I53&gt;0,Debts!$E$14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J54" s="22" t="n">
        <f aca="false">IF(J53&lt;=0,0,MAX(0,J53*(1+Debts!$C$15/12)-MIN(J53*(1+Debts!$C$15/12),Debts!$D$15)-IF(AND(J53&gt;0,Debts!$E$15=MIN(IF(C53&gt;0,Debts!$E$8,999),IF(D53&gt;0,Debts!$E$9,999),IF(E53&gt;0,Debts!$E$10,999),IF(F53&gt;0,Debts!$E$11,999),IF(G53&gt;0,Debts!$E$12,999),IF(H53&gt;0,Debts!$E$13,999),IF(I53&gt;0,Debts!$E$14,999),IF(J53&gt;0,Debts!$E$15,999))),MAX(0,(B54-(MIN(C53+0,C53*(1+Debts!$C$8/12))*0+MIN(C53*(1+Debts!$C$8/12),Debts!$D$8)+MIN(C53+0,D53*(1+Debts!$C$9/12))*0+MIN(D53*(1+Debts!$C$9/12),Debts!$D$9)+MIN(C53+0,E53*(1+Debts!$C$10/12))*0+MIN(E53*(1+Debts!$C$10/12),Debts!$D$10)+MIN(C53+0,F53*(1+Debts!$C$11/12))*0+MIN(F53*(1+Debts!$C$11/12),Debts!$D$11)+MIN(C53+0,G53*(1+Debts!$C$12/12))*0+MIN(G53*(1+Debts!$C$12/12),Debts!$D$12)+MIN(C53+0,H53*(1+Debts!$C$13/12))*0+MIN(H53*(1+Debts!$C$13/12),Debts!$D$13)+MIN(C53+0,I53*(1+Debts!$C$14/12))*0+MIN(I53*(1+Debts!$C$14/12),Debts!$D$14)+MIN(C53+0,J53*(1+Debts!$C$15/12))*0+MIN(J53*(1+Debts!$C$15/12),Debts!$D$15)))),0)))</f>
        <v>0</v>
      </c>
      <c r="K54" s="22" t="n">
        <f aca="false">IF(C53&gt;0,C53*Debts!$C$8/12,0)+IF(D53&gt;0,D53*Debts!$C$9/12,0)+IF(E53&gt;0,E53*Debts!$C$10/12,0)+IF(F53&gt;0,F53*Debts!$C$11/12,0)+IF(G53&gt;0,G53*Debts!$C$12/12,0)+IF(H53&gt;0,H53*Debts!$C$13/12,0)+IF(I53&gt;0,I53*Debts!$C$14/12,0)+IF(J53&gt;0,J53*Debts!$C$15/12,0)</f>
        <v>0</v>
      </c>
      <c r="L54" s="22" t="n">
        <f aca="false">SUM(C54:J54)</f>
        <v>0</v>
      </c>
    </row>
    <row r="55" customFormat="false" ht="15" hidden="false" customHeight="false" outlineLevel="0" collapsed="false">
      <c r="A55" s="19" t="n">
        <f aca="false">48</f>
        <v>48</v>
      </c>
      <c r="B55" s="27" t="n">
        <f aca="false">IF(L54&lt;=0,0,Debts!$D$16+Debts!$B$4)</f>
        <v>0</v>
      </c>
      <c r="C55" s="22" t="n">
        <f aca="false">IF(C54&lt;=0,0,MAX(0,C54*(1+Debts!$C$8/12)-MIN(C54*(1+Debts!$C$8/12),Debts!$D$8)-IF(AND(C54&gt;0,Debts!$E$8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D55" s="22" t="n">
        <f aca="false">IF(D54&lt;=0,0,MAX(0,D54*(1+Debts!$C$9/12)-MIN(D54*(1+Debts!$C$9/12),Debts!$D$9)-IF(AND(D54&gt;0,Debts!$E$9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E55" s="22" t="n">
        <f aca="false">IF(E54&lt;=0,0,MAX(0,E54*(1+Debts!$C$10/12)-MIN(E54*(1+Debts!$C$10/12),Debts!$D$10)-IF(AND(E54&gt;0,Debts!$E$10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F55" s="22" t="n">
        <f aca="false">IF(F54&lt;=0,0,MAX(0,F54*(1+Debts!$C$11/12)-MIN(F54*(1+Debts!$C$11/12),Debts!$D$11)-IF(AND(F54&gt;0,Debts!$E$11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G55" s="22" t="n">
        <f aca="false">IF(G54&lt;=0,0,MAX(0,G54*(1+Debts!$C$12/12)-MIN(G54*(1+Debts!$C$12/12),Debts!$D$12)-IF(AND(G54&gt;0,Debts!$E$12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H55" s="22" t="n">
        <f aca="false">IF(H54&lt;=0,0,MAX(0,H54*(1+Debts!$C$13/12)-MIN(H54*(1+Debts!$C$13/12),Debts!$D$13)-IF(AND(H54&gt;0,Debts!$E$13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I55" s="22" t="n">
        <f aca="false">IF(I54&lt;=0,0,MAX(0,I54*(1+Debts!$C$14/12)-MIN(I54*(1+Debts!$C$14/12),Debts!$D$14)-IF(AND(I54&gt;0,Debts!$E$14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J55" s="22" t="n">
        <f aca="false">IF(J54&lt;=0,0,MAX(0,J54*(1+Debts!$C$15/12)-MIN(J54*(1+Debts!$C$15/12),Debts!$D$15)-IF(AND(J54&gt;0,Debts!$E$15=MIN(IF(C54&gt;0,Debts!$E$8,999),IF(D54&gt;0,Debts!$E$9,999),IF(E54&gt;0,Debts!$E$10,999),IF(F54&gt;0,Debts!$E$11,999),IF(G54&gt;0,Debts!$E$12,999),IF(H54&gt;0,Debts!$E$13,999),IF(I54&gt;0,Debts!$E$14,999),IF(J54&gt;0,Debts!$E$15,999))),MAX(0,(B55-(MIN(C54+0,C54*(1+Debts!$C$8/12))*0+MIN(C54*(1+Debts!$C$8/12),Debts!$D$8)+MIN(C54+0,D54*(1+Debts!$C$9/12))*0+MIN(D54*(1+Debts!$C$9/12),Debts!$D$9)+MIN(C54+0,E54*(1+Debts!$C$10/12))*0+MIN(E54*(1+Debts!$C$10/12),Debts!$D$10)+MIN(C54+0,F54*(1+Debts!$C$11/12))*0+MIN(F54*(1+Debts!$C$11/12),Debts!$D$11)+MIN(C54+0,G54*(1+Debts!$C$12/12))*0+MIN(G54*(1+Debts!$C$12/12),Debts!$D$12)+MIN(C54+0,H54*(1+Debts!$C$13/12))*0+MIN(H54*(1+Debts!$C$13/12),Debts!$D$13)+MIN(C54+0,I54*(1+Debts!$C$14/12))*0+MIN(I54*(1+Debts!$C$14/12),Debts!$D$14)+MIN(C54+0,J54*(1+Debts!$C$15/12))*0+MIN(J54*(1+Debts!$C$15/12),Debts!$D$15)))),0)))</f>
        <v>0</v>
      </c>
      <c r="K55" s="22" t="n">
        <f aca="false">IF(C54&gt;0,C54*Debts!$C$8/12,0)+IF(D54&gt;0,D54*Debts!$C$9/12,0)+IF(E54&gt;0,E54*Debts!$C$10/12,0)+IF(F54&gt;0,F54*Debts!$C$11/12,0)+IF(G54&gt;0,G54*Debts!$C$12/12,0)+IF(H54&gt;0,H54*Debts!$C$13/12,0)+IF(I54&gt;0,I54*Debts!$C$14/12,0)+IF(J54&gt;0,J54*Debts!$C$15/12,0)</f>
        <v>0</v>
      </c>
      <c r="L55" s="22" t="n">
        <f aca="false">SUM(C55:J55)</f>
        <v>0</v>
      </c>
    </row>
    <row r="56" customFormat="false" ht="15" hidden="false" customHeight="false" outlineLevel="0" collapsed="false">
      <c r="A56" s="19" t="n">
        <f aca="false">49</f>
        <v>49</v>
      </c>
      <c r="B56" s="27" t="n">
        <f aca="false">IF(L55&lt;=0,0,Debts!$D$16+Debts!$B$4)</f>
        <v>0</v>
      </c>
      <c r="C56" s="22" t="n">
        <f aca="false">IF(C55&lt;=0,0,MAX(0,C55*(1+Debts!$C$8/12)-MIN(C55*(1+Debts!$C$8/12),Debts!$D$8)-IF(AND(C55&gt;0,Debts!$E$8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D56" s="22" t="n">
        <f aca="false">IF(D55&lt;=0,0,MAX(0,D55*(1+Debts!$C$9/12)-MIN(D55*(1+Debts!$C$9/12),Debts!$D$9)-IF(AND(D55&gt;0,Debts!$E$9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E56" s="22" t="n">
        <f aca="false">IF(E55&lt;=0,0,MAX(0,E55*(1+Debts!$C$10/12)-MIN(E55*(1+Debts!$C$10/12),Debts!$D$10)-IF(AND(E55&gt;0,Debts!$E$10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F56" s="22" t="n">
        <f aca="false">IF(F55&lt;=0,0,MAX(0,F55*(1+Debts!$C$11/12)-MIN(F55*(1+Debts!$C$11/12),Debts!$D$11)-IF(AND(F55&gt;0,Debts!$E$11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G56" s="22" t="n">
        <f aca="false">IF(G55&lt;=0,0,MAX(0,G55*(1+Debts!$C$12/12)-MIN(G55*(1+Debts!$C$12/12),Debts!$D$12)-IF(AND(G55&gt;0,Debts!$E$12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H56" s="22" t="n">
        <f aca="false">IF(H55&lt;=0,0,MAX(0,H55*(1+Debts!$C$13/12)-MIN(H55*(1+Debts!$C$13/12),Debts!$D$13)-IF(AND(H55&gt;0,Debts!$E$13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I56" s="22" t="n">
        <f aca="false">IF(I55&lt;=0,0,MAX(0,I55*(1+Debts!$C$14/12)-MIN(I55*(1+Debts!$C$14/12),Debts!$D$14)-IF(AND(I55&gt;0,Debts!$E$14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J56" s="22" t="n">
        <f aca="false">IF(J55&lt;=0,0,MAX(0,J55*(1+Debts!$C$15/12)-MIN(J55*(1+Debts!$C$15/12),Debts!$D$15)-IF(AND(J55&gt;0,Debts!$E$15=MIN(IF(C55&gt;0,Debts!$E$8,999),IF(D55&gt;0,Debts!$E$9,999),IF(E55&gt;0,Debts!$E$10,999),IF(F55&gt;0,Debts!$E$11,999),IF(G55&gt;0,Debts!$E$12,999),IF(H55&gt;0,Debts!$E$13,999),IF(I55&gt;0,Debts!$E$14,999),IF(J55&gt;0,Debts!$E$15,999))),MAX(0,(B56-(MIN(C55+0,C55*(1+Debts!$C$8/12))*0+MIN(C55*(1+Debts!$C$8/12),Debts!$D$8)+MIN(C55+0,D55*(1+Debts!$C$9/12))*0+MIN(D55*(1+Debts!$C$9/12),Debts!$D$9)+MIN(C55+0,E55*(1+Debts!$C$10/12))*0+MIN(E55*(1+Debts!$C$10/12),Debts!$D$10)+MIN(C55+0,F55*(1+Debts!$C$11/12))*0+MIN(F55*(1+Debts!$C$11/12),Debts!$D$11)+MIN(C55+0,G55*(1+Debts!$C$12/12))*0+MIN(G55*(1+Debts!$C$12/12),Debts!$D$12)+MIN(C55+0,H55*(1+Debts!$C$13/12))*0+MIN(H55*(1+Debts!$C$13/12),Debts!$D$13)+MIN(C55+0,I55*(1+Debts!$C$14/12))*0+MIN(I55*(1+Debts!$C$14/12),Debts!$D$14)+MIN(C55+0,J55*(1+Debts!$C$15/12))*0+MIN(J55*(1+Debts!$C$15/12),Debts!$D$15)))),0)))</f>
        <v>0</v>
      </c>
      <c r="K56" s="22" t="n">
        <f aca="false">IF(C55&gt;0,C55*Debts!$C$8/12,0)+IF(D55&gt;0,D55*Debts!$C$9/12,0)+IF(E55&gt;0,E55*Debts!$C$10/12,0)+IF(F55&gt;0,F55*Debts!$C$11/12,0)+IF(G55&gt;0,G55*Debts!$C$12/12,0)+IF(H55&gt;0,H55*Debts!$C$13/12,0)+IF(I55&gt;0,I55*Debts!$C$14/12,0)+IF(J55&gt;0,J55*Debts!$C$15/12,0)</f>
        <v>0</v>
      </c>
      <c r="L56" s="22" t="n">
        <f aca="false">SUM(C56:J56)</f>
        <v>0</v>
      </c>
    </row>
    <row r="57" customFormat="false" ht="15" hidden="false" customHeight="false" outlineLevel="0" collapsed="false">
      <c r="A57" s="19" t="n">
        <f aca="false">50</f>
        <v>50</v>
      </c>
      <c r="B57" s="27" t="n">
        <f aca="false">IF(L56&lt;=0,0,Debts!$D$16+Debts!$B$4)</f>
        <v>0</v>
      </c>
      <c r="C57" s="22" t="n">
        <f aca="false">IF(C56&lt;=0,0,MAX(0,C56*(1+Debts!$C$8/12)-MIN(C56*(1+Debts!$C$8/12),Debts!$D$8)-IF(AND(C56&gt;0,Debts!$E$8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D57" s="22" t="n">
        <f aca="false">IF(D56&lt;=0,0,MAX(0,D56*(1+Debts!$C$9/12)-MIN(D56*(1+Debts!$C$9/12),Debts!$D$9)-IF(AND(D56&gt;0,Debts!$E$9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E57" s="22" t="n">
        <f aca="false">IF(E56&lt;=0,0,MAX(0,E56*(1+Debts!$C$10/12)-MIN(E56*(1+Debts!$C$10/12),Debts!$D$10)-IF(AND(E56&gt;0,Debts!$E$10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F57" s="22" t="n">
        <f aca="false">IF(F56&lt;=0,0,MAX(0,F56*(1+Debts!$C$11/12)-MIN(F56*(1+Debts!$C$11/12),Debts!$D$11)-IF(AND(F56&gt;0,Debts!$E$11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G57" s="22" t="n">
        <f aca="false">IF(G56&lt;=0,0,MAX(0,G56*(1+Debts!$C$12/12)-MIN(G56*(1+Debts!$C$12/12),Debts!$D$12)-IF(AND(G56&gt;0,Debts!$E$12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H57" s="22" t="n">
        <f aca="false">IF(H56&lt;=0,0,MAX(0,H56*(1+Debts!$C$13/12)-MIN(H56*(1+Debts!$C$13/12),Debts!$D$13)-IF(AND(H56&gt;0,Debts!$E$13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I57" s="22" t="n">
        <f aca="false">IF(I56&lt;=0,0,MAX(0,I56*(1+Debts!$C$14/12)-MIN(I56*(1+Debts!$C$14/12),Debts!$D$14)-IF(AND(I56&gt;0,Debts!$E$14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J57" s="22" t="n">
        <f aca="false">IF(J56&lt;=0,0,MAX(0,J56*(1+Debts!$C$15/12)-MIN(J56*(1+Debts!$C$15/12),Debts!$D$15)-IF(AND(J56&gt;0,Debts!$E$15=MIN(IF(C56&gt;0,Debts!$E$8,999),IF(D56&gt;0,Debts!$E$9,999),IF(E56&gt;0,Debts!$E$10,999),IF(F56&gt;0,Debts!$E$11,999),IF(G56&gt;0,Debts!$E$12,999),IF(H56&gt;0,Debts!$E$13,999),IF(I56&gt;0,Debts!$E$14,999),IF(J56&gt;0,Debts!$E$15,999))),MAX(0,(B57-(MIN(C56+0,C56*(1+Debts!$C$8/12))*0+MIN(C56*(1+Debts!$C$8/12),Debts!$D$8)+MIN(C56+0,D56*(1+Debts!$C$9/12))*0+MIN(D56*(1+Debts!$C$9/12),Debts!$D$9)+MIN(C56+0,E56*(1+Debts!$C$10/12))*0+MIN(E56*(1+Debts!$C$10/12),Debts!$D$10)+MIN(C56+0,F56*(1+Debts!$C$11/12))*0+MIN(F56*(1+Debts!$C$11/12),Debts!$D$11)+MIN(C56+0,G56*(1+Debts!$C$12/12))*0+MIN(G56*(1+Debts!$C$12/12),Debts!$D$12)+MIN(C56+0,H56*(1+Debts!$C$13/12))*0+MIN(H56*(1+Debts!$C$13/12),Debts!$D$13)+MIN(C56+0,I56*(1+Debts!$C$14/12))*0+MIN(I56*(1+Debts!$C$14/12),Debts!$D$14)+MIN(C56+0,J56*(1+Debts!$C$15/12))*0+MIN(J56*(1+Debts!$C$15/12),Debts!$D$15)))),0)))</f>
        <v>0</v>
      </c>
      <c r="K57" s="22" t="n">
        <f aca="false">IF(C56&gt;0,C56*Debts!$C$8/12,0)+IF(D56&gt;0,D56*Debts!$C$9/12,0)+IF(E56&gt;0,E56*Debts!$C$10/12,0)+IF(F56&gt;0,F56*Debts!$C$11/12,0)+IF(G56&gt;0,G56*Debts!$C$12/12,0)+IF(H56&gt;0,H56*Debts!$C$13/12,0)+IF(I56&gt;0,I56*Debts!$C$14/12,0)+IF(J56&gt;0,J56*Debts!$C$15/12,0)</f>
        <v>0</v>
      </c>
      <c r="L57" s="22" t="n">
        <f aca="false">SUM(C57:J57)</f>
        <v>0</v>
      </c>
    </row>
    <row r="58" customFormat="false" ht="15" hidden="false" customHeight="false" outlineLevel="0" collapsed="false">
      <c r="A58" s="19" t="n">
        <f aca="false">51</f>
        <v>51</v>
      </c>
      <c r="B58" s="27" t="n">
        <f aca="false">IF(L57&lt;=0,0,Debts!$D$16+Debts!$B$4)</f>
        <v>0</v>
      </c>
      <c r="C58" s="22" t="n">
        <f aca="false">IF(C57&lt;=0,0,MAX(0,C57*(1+Debts!$C$8/12)-MIN(C57*(1+Debts!$C$8/12),Debts!$D$8)-IF(AND(C57&gt;0,Debts!$E$8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D58" s="22" t="n">
        <f aca="false">IF(D57&lt;=0,0,MAX(0,D57*(1+Debts!$C$9/12)-MIN(D57*(1+Debts!$C$9/12),Debts!$D$9)-IF(AND(D57&gt;0,Debts!$E$9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E58" s="22" t="n">
        <f aca="false">IF(E57&lt;=0,0,MAX(0,E57*(1+Debts!$C$10/12)-MIN(E57*(1+Debts!$C$10/12),Debts!$D$10)-IF(AND(E57&gt;0,Debts!$E$10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F58" s="22" t="n">
        <f aca="false">IF(F57&lt;=0,0,MAX(0,F57*(1+Debts!$C$11/12)-MIN(F57*(1+Debts!$C$11/12),Debts!$D$11)-IF(AND(F57&gt;0,Debts!$E$11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G58" s="22" t="n">
        <f aca="false">IF(G57&lt;=0,0,MAX(0,G57*(1+Debts!$C$12/12)-MIN(G57*(1+Debts!$C$12/12),Debts!$D$12)-IF(AND(G57&gt;0,Debts!$E$12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H58" s="22" t="n">
        <f aca="false">IF(H57&lt;=0,0,MAX(0,H57*(1+Debts!$C$13/12)-MIN(H57*(1+Debts!$C$13/12),Debts!$D$13)-IF(AND(H57&gt;0,Debts!$E$13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I58" s="22" t="n">
        <f aca="false">IF(I57&lt;=0,0,MAX(0,I57*(1+Debts!$C$14/12)-MIN(I57*(1+Debts!$C$14/12),Debts!$D$14)-IF(AND(I57&gt;0,Debts!$E$14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J58" s="22" t="n">
        <f aca="false">IF(J57&lt;=0,0,MAX(0,J57*(1+Debts!$C$15/12)-MIN(J57*(1+Debts!$C$15/12),Debts!$D$15)-IF(AND(J57&gt;0,Debts!$E$15=MIN(IF(C57&gt;0,Debts!$E$8,999),IF(D57&gt;0,Debts!$E$9,999),IF(E57&gt;0,Debts!$E$10,999),IF(F57&gt;0,Debts!$E$11,999),IF(G57&gt;0,Debts!$E$12,999),IF(H57&gt;0,Debts!$E$13,999),IF(I57&gt;0,Debts!$E$14,999),IF(J57&gt;0,Debts!$E$15,999))),MAX(0,(B58-(MIN(C57+0,C57*(1+Debts!$C$8/12))*0+MIN(C57*(1+Debts!$C$8/12),Debts!$D$8)+MIN(C57+0,D57*(1+Debts!$C$9/12))*0+MIN(D57*(1+Debts!$C$9/12),Debts!$D$9)+MIN(C57+0,E57*(1+Debts!$C$10/12))*0+MIN(E57*(1+Debts!$C$10/12),Debts!$D$10)+MIN(C57+0,F57*(1+Debts!$C$11/12))*0+MIN(F57*(1+Debts!$C$11/12),Debts!$D$11)+MIN(C57+0,G57*(1+Debts!$C$12/12))*0+MIN(G57*(1+Debts!$C$12/12),Debts!$D$12)+MIN(C57+0,H57*(1+Debts!$C$13/12))*0+MIN(H57*(1+Debts!$C$13/12),Debts!$D$13)+MIN(C57+0,I57*(1+Debts!$C$14/12))*0+MIN(I57*(1+Debts!$C$14/12),Debts!$D$14)+MIN(C57+0,J57*(1+Debts!$C$15/12))*0+MIN(J57*(1+Debts!$C$15/12),Debts!$D$15)))),0)))</f>
        <v>0</v>
      </c>
      <c r="K58" s="22" t="n">
        <f aca="false">IF(C57&gt;0,C57*Debts!$C$8/12,0)+IF(D57&gt;0,D57*Debts!$C$9/12,0)+IF(E57&gt;0,E57*Debts!$C$10/12,0)+IF(F57&gt;0,F57*Debts!$C$11/12,0)+IF(G57&gt;0,G57*Debts!$C$12/12,0)+IF(H57&gt;0,H57*Debts!$C$13/12,0)+IF(I57&gt;0,I57*Debts!$C$14/12,0)+IF(J57&gt;0,J57*Debts!$C$15/12,0)</f>
        <v>0</v>
      </c>
      <c r="L58" s="22" t="n">
        <f aca="false">SUM(C58:J58)</f>
        <v>0</v>
      </c>
    </row>
    <row r="59" customFormat="false" ht="15" hidden="false" customHeight="false" outlineLevel="0" collapsed="false">
      <c r="A59" s="19" t="n">
        <f aca="false">52</f>
        <v>52</v>
      </c>
      <c r="B59" s="27" t="n">
        <f aca="false">IF(L58&lt;=0,0,Debts!$D$16+Debts!$B$4)</f>
        <v>0</v>
      </c>
      <c r="C59" s="22" t="n">
        <f aca="false">IF(C58&lt;=0,0,MAX(0,C58*(1+Debts!$C$8/12)-MIN(C58*(1+Debts!$C$8/12),Debts!$D$8)-IF(AND(C58&gt;0,Debts!$E$8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D59" s="22" t="n">
        <f aca="false">IF(D58&lt;=0,0,MAX(0,D58*(1+Debts!$C$9/12)-MIN(D58*(1+Debts!$C$9/12),Debts!$D$9)-IF(AND(D58&gt;0,Debts!$E$9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E59" s="22" t="n">
        <f aca="false">IF(E58&lt;=0,0,MAX(0,E58*(1+Debts!$C$10/12)-MIN(E58*(1+Debts!$C$10/12),Debts!$D$10)-IF(AND(E58&gt;0,Debts!$E$10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F59" s="22" t="n">
        <f aca="false">IF(F58&lt;=0,0,MAX(0,F58*(1+Debts!$C$11/12)-MIN(F58*(1+Debts!$C$11/12),Debts!$D$11)-IF(AND(F58&gt;0,Debts!$E$11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G59" s="22" t="n">
        <f aca="false">IF(G58&lt;=0,0,MAX(0,G58*(1+Debts!$C$12/12)-MIN(G58*(1+Debts!$C$12/12),Debts!$D$12)-IF(AND(G58&gt;0,Debts!$E$12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H59" s="22" t="n">
        <f aca="false">IF(H58&lt;=0,0,MAX(0,H58*(1+Debts!$C$13/12)-MIN(H58*(1+Debts!$C$13/12),Debts!$D$13)-IF(AND(H58&gt;0,Debts!$E$13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I59" s="22" t="n">
        <f aca="false">IF(I58&lt;=0,0,MAX(0,I58*(1+Debts!$C$14/12)-MIN(I58*(1+Debts!$C$14/12),Debts!$D$14)-IF(AND(I58&gt;0,Debts!$E$14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J59" s="22" t="n">
        <f aca="false">IF(J58&lt;=0,0,MAX(0,J58*(1+Debts!$C$15/12)-MIN(J58*(1+Debts!$C$15/12),Debts!$D$15)-IF(AND(J58&gt;0,Debts!$E$15=MIN(IF(C58&gt;0,Debts!$E$8,999),IF(D58&gt;0,Debts!$E$9,999),IF(E58&gt;0,Debts!$E$10,999),IF(F58&gt;0,Debts!$E$11,999),IF(G58&gt;0,Debts!$E$12,999),IF(H58&gt;0,Debts!$E$13,999),IF(I58&gt;0,Debts!$E$14,999),IF(J58&gt;0,Debts!$E$15,999))),MAX(0,(B59-(MIN(C58+0,C58*(1+Debts!$C$8/12))*0+MIN(C58*(1+Debts!$C$8/12),Debts!$D$8)+MIN(C58+0,D58*(1+Debts!$C$9/12))*0+MIN(D58*(1+Debts!$C$9/12),Debts!$D$9)+MIN(C58+0,E58*(1+Debts!$C$10/12))*0+MIN(E58*(1+Debts!$C$10/12),Debts!$D$10)+MIN(C58+0,F58*(1+Debts!$C$11/12))*0+MIN(F58*(1+Debts!$C$11/12),Debts!$D$11)+MIN(C58+0,G58*(1+Debts!$C$12/12))*0+MIN(G58*(1+Debts!$C$12/12),Debts!$D$12)+MIN(C58+0,H58*(1+Debts!$C$13/12))*0+MIN(H58*(1+Debts!$C$13/12),Debts!$D$13)+MIN(C58+0,I58*(1+Debts!$C$14/12))*0+MIN(I58*(1+Debts!$C$14/12),Debts!$D$14)+MIN(C58+0,J58*(1+Debts!$C$15/12))*0+MIN(J58*(1+Debts!$C$15/12),Debts!$D$15)))),0)))</f>
        <v>0</v>
      </c>
      <c r="K59" s="22" t="n">
        <f aca="false">IF(C58&gt;0,C58*Debts!$C$8/12,0)+IF(D58&gt;0,D58*Debts!$C$9/12,0)+IF(E58&gt;0,E58*Debts!$C$10/12,0)+IF(F58&gt;0,F58*Debts!$C$11/12,0)+IF(G58&gt;0,G58*Debts!$C$12/12,0)+IF(H58&gt;0,H58*Debts!$C$13/12,0)+IF(I58&gt;0,I58*Debts!$C$14/12,0)+IF(J58&gt;0,J58*Debts!$C$15/12,0)</f>
        <v>0</v>
      </c>
      <c r="L59" s="22" t="n">
        <f aca="false">SUM(C59:J59)</f>
        <v>0</v>
      </c>
    </row>
    <row r="60" customFormat="false" ht="15" hidden="false" customHeight="false" outlineLevel="0" collapsed="false">
      <c r="A60" s="19" t="n">
        <f aca="false">53</f>
        <v>53</v>
      </c>
      <c r="B60" s="27" t="n">
        <f aca="false">IF(L59&lt;=0,0,Debts!$D$16+Debts!$B$4)</f>
        <v>0</v>
      </c>
      <c r="C60" s="22" t="n">
        <f aca="false">IF(C59&lt;=0,0,MAX(0,C59*(1+Debts!$C$8/12)-MIN(C59*(1+Debts!$C$8/12),Debts!$D$8)-IF(AND(C59&gt;0,Debts!$E$8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D60" s="22" t="n">
        <f aca="false">IF(D59&lt;=0,0,MAX(0,D59*(1+Debts!$C$9/12)-MIN(D59*(1+Debts!$C$9/12),Debts!$D$9)-IF(AND(D59&gt;0,Debts!$E$9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E60" s="22" t="n">
        <f aca="false">IF(E59&lt;=0,0,MAX(0,E59*(1+Debts!$C$10/12)-MIN(E59*(1+Debts!$C$10/12),Debts!$D$10)-IF(AND(E59&gt;0,Debts!$E$10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F60" s="22" t="n">
        <f aca="false">IF(F59&lt;=0,0,MAX(0,F59*(1+Debts!$C$11/12)-MIN(F59*(1+Debts!$C$11/12),Debts!$D$11)-IF(AND(F59&gt;0,Debts!$E$11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G60" s="22" t="n">
        <f aca="false">IF(G59&lt;=0,0,MAX(0,G59*(1+Debts!$C$12/12)-MIN(G59*(1+Debts!$C$12/12),Debts!$D$12)-IF(AND(G59&gt;0,Debts!$E$12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H60" s="22" t="n">
        <f aca="false">IF(H59&lt;=0,0,MAX(0,H59*(1+Debts!$C$13/12)-MIN(H59*(1+Debts!$C$13/12),Debts!$D$13)-IF(AND(H59&gt;0,Debts!$E$13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I60" s="22" t="n">
        <f aca="false">IF(I59&lt;=0,0,MAX(0,I59*(1+Debts!$C$14/12)-MIN(I59*(1+Debts!$C$14/12),Debts!$D$14)-IF(AND(I59&gt;0,Debts!$E$14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J60" s="22" t="n">
        <f aca="false">IF(J59&lt;=0,0,MAX(0,J59*(1+Debts!$C$15/12)-MIN(J59*(1+Debts!$C$15/12),Debts!$D$15)-IF(AND(J59&gt;0,Debts!$E$15=MIN(IF(C59&gt;0,Debts!$E$8,999),IF(D59&gt;0,Debts!$E$9,999),IF(E59&gt;0,Debts!$E$10,999),IF(F59&gt;0,Debts!$E$11,999),IF(G59&gt;0,Debts!$E$12,999),IF(H59&gt;0,Debts!$E$13,999),IF(I59&gt;0,Debts!$E$14,999),IF(J59&gt;0,Debts!$E$15,999))),MAX(0,(B60-(MIN(C59+0,C59*(1+Debts!$C$8/12))*0+MIN(C59*(1+Debts!$C$8/12),Debts!$D$8)+MIN(C59+0,D59*(1+Debts!$C$9/12))*0+MIN(D59*(1+Debts!$C$9/12),Debts!$D$9)+MIN(C59+0,E59*(1+Debts!$C$10/12))*0+MIN(E59*(1+Debts!$C$10/12),Debts!$D$10)+MIN(C59+0,F59*(1+Debts!$C$11/12))*0+MIN(F59*(1+Debts!$C$11/12),Debts!$D$11)+MIN(C59+0,G59*(1+Debts!$C$12/12))*0+MIN(G59*(1+Debts!$C$12/12),Debts!$D$12)+MIN(C59+0,H59*(1+Debts!$C$13/12))*0+MIN(H59*(1+Debts!$C$13/12),Debts!$D$13)+MIN(C59+0,I59*(1+Debts!$C$14/12))*0+MIN(I59*(1+Debts!$C$14/12),Debts!$D$14)+MIN(C59+0,J59*(1+Debts!$C$15/12))*0+MIN(J59*(1+Debts!$C$15/12),Debts!$D$15)))),0)))</f>
        <v>0</v>
      </c>
      <c r="K60" s="22" t="n">
        <f aca="false">IF(C59&gt;0,C59*Debts!$C$8/12,0)+IF(D59&gt;0,D59*Debts!$C$9/12,0)+IF(E59&gt;0,E59*Debts!$C$10/12,0)+IF(F59&gt;0,F59*Debts!$C$11/12,0)+IF(G59&gt;0,G59*Debts!$C$12/12,0)+IF(H59&gt;0,H59*Debts!$C$13/12,0)+IF(I59&gt;0,I59*Debts!$C$14/12,0)+IF(J59&gt;0,J59*Debts!$C$15/12,0)</f>
        <v>0</v>
      </c>
      <c r="L60" s="22" t="n">
        <f aca="false">SUM(C60:J60)</f>
        <v>0</v>
      </c>
    </row>
    <row r="61" customFormat="false" ht="15" hidden="false" customHeight="false" outlineLevel="0" collapsed="false">
      <c r="A61" s="19" t="n">
        <f aca="false">54</f>
        <v>54</v>
      </c>
      <c r="B61" s="27" t="n">
        <f aca="false">IF(L60&lt;=0,0,Debts!$D$16+Debts!$B$4)</f>
        <v>0</v>
      </c>
      <c r="C61" s="22" t="n">
        <f aca="false">IF(C60&lt;=0,0,MAX(0,C60*(1+Debts!$C$8/12)-MIN(C60*(1+Debts!$C$8/12),Debts!$D$8)-IF(AND(C60&gt;0,Debts!$E$8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D61" s="22" t="n">
        <f aca="false">IF(D60&lt;=0,0,MAX(0,D60*(1+Debts!$C$9/12)-MIN(D60*(1+Debts!$C$9/12),Debts!$D$9)-IF(AND(D60&gt;0,Debts!$E$9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E61" s="22" t="n">
        <f aca="false">IF(E60&lt;=0,0,MAX(0,E60*(1+Debts!$C$10/12)-MIN(E60*(1+Debts!$C$10/12),Debts!$D$10)-IF(AND(E60&gt;0,Debts!$E$10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F61" s="22" t="n">
        <f aca="false">IF(F60&lt;=0,0,MAX(0,F60*(1+Debts!$C$11/12)-MIN(F60*(1+Debts!$C$11/12),Debts!$D$11)-IF(AND(F60&gt;0,Debts!$E$11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G61" s="22" t="n">
        <f aca="false">IF(G60&lt;=0,0,MAX(0,G60*(1+Debts!$C$12/12)-MIN(G60*(1+Debts!$C$12/12),Debts!$D$12)-IF(AND(G60&gt;0,Debts!$E$12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H61" s="22" t="n">
        <f aca="false">IF(H60&lt;=0,0,MAX(0,H60*(1+Debts!$C$13/12)-MIN(H60*(1+Debts!$C$13/12),Debts!$D$13)-IF(AND(H60&gt;0,Debts!$E$13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I61" s="22" t="n">
        <f aca="false">IF(I60&lt;=0,0,MAX(0,I60*(1+Debts!$C$14/12)-MIN(I60*(1+Debts!$C$14/12),Debts!$D$14)-IF(AND(I60&gt;0,Debts!$E$14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J61" s="22" t="n">
        <f aca="false">IF(J60&lt;=0,0,MAX(0,J60*(1+Debts!$C$15/12)-MIN(J60*(1+Debts!$C$15/12),Debts!$D$15)-IF(AND(J60&gt;0,Debts!$E$15=MIN(IF(C60&gt;0,Debts!$E$8,999),IF(D60&gt;0,Debts!$E$9,999),IF(E60&gt;0,Debts!$E$10,999),IF(F60&gt;0,Debts!$E$11,999),IF(G60&gt;0,Debts!$E$12,999),IF(H60&gt;0,Debts!$E$13,999),IF(I60&gt;0,Debts!$E$14,999),IF(J60&gt;0,Debts!$E$15,999))),MAX(0,(B61-(MIN(C60+0,C60*(1+Debts!$C$8/12))*0+MIN(C60*(1+Debts!$C$8/12),Debts!$D$8)+MIN(C60+0,D60*(1+Debts!$C$9/12))*0+MIN(D60*(1+Debts!$C$9/12),Debts!$D$9)+MIN(C60+0,E60*(1+Debts!$C$10/12))*0+MIN(E60*(1+Debts!$C$10/12),Debts!$D$10)+MIN(C60+0,F60*(1+Debts!$C$11/12))*0+MIN(F60*(1+Debts!$C$11/12),Debts!$D$11)+MIN(C60+0,G60*(1+Debts!$C$12/12))*0+MIN(G60*(1+Debts!$C$12/12),Debts!$D$12)+MIN(C60+0,H60*(1+Debts!$C$13/12))*0+MIN(H60*(1+Debts!$C$13/12),Debts!$D$13)+MIN(C60+0,I60*(1+Debts!$C$14/12))*0+MIN(I60*(1+Debts!$C$14/12),Debts!$D$14)+MIN(C60+0,J60*(1+Debts!$C$15/12))*0+MIN(J60*(1+Debts!$C$15/12),Debts!$D$15)))),0)))</f>
        <v>0</v>
      </c>
      <c r="K61" s="22" t="n">
        <f aca="false">IF(C60&gt;0,C60*Debts!$C$8/12,0)+IF(D60&gt;0,D60*Debts!$C$9/12,0)+IF(E60&gt;0,E60*Debts!$C$10/12,0)+IF(F60&gt;0,F60*Debts!$C$11/12,0)+IF(G60&gt;0,G60*Debts!$C$12/12,0)+IF(H60&gt;0,H60*Debts!$C$13/12,0)+IF(I60&gt;0,I60*Debts!$C$14/12,0)+IF(J60&gt;0,J60*Debts!$C$15/12,0)</f>
        <v>0</v>
      </c>
      <c r="L61" s="22" t="n">
        <f aca="false">SUM(C61:J61)</f>
        <v>0</v>
      </c>
    </row>
    <row r="62" customFormat="false" ht="15" hidden="false" customHeight="false" outlineLevel="0" collapsed="false">
      <c r="A62" s="19" t="n">
        <f aca="false">55</f>
        <v>55</v>
      </c>
      <c r="B62" s="27" t="n">
        <f aca="false">IF(L61&lt;=0,0,Debts!$D$16+Debts!$B$4)</f>
        <v>0</v>
      </c>
      <c r="C62" s="22" t="n">
        <f aca="false">IF(C61&lt;=0,0,MAX(0,C61*(1+Debts!$C$8/12)-MIN(C61*(1+Debts!$C$8/12),Debts!$D$8)-IF(AND(C61&gt;0,Debts!$E$8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D62" s="22" t="n">
        <f aca="false">IF(D61&lt;=0,0,MAX(0,D61*(1+Debts!$C$9/12)-MIN(D61*(1+Debts!$C$9/12),Debts!$D$9)-IF(AND(D61&gt;0,Debts!$E$9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E62" s="22" t="n">
        <f aca="false">IF(E61&lt;=0,0,MAX(0,E61*(1+Debts!$C$10/12)-MIN(E61*(1+Debts!$C$10/12),Debts!$D$10)-IF(AND(E61&gt;0,Debts!$E$10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F62" s="22" t="n">
        <f aca="false">IF(F61&lt;=0,0,MAX(0,F61*(1+Debts!$C$11/12)-MIN(F61*(1+Debts!$C$11/12),Debts!$D$11)-IF(AND(F61&gt;0,Debts!$E$11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G62" s="22" t="n">
        <f aca="false">IF(G61&lt;=0,0,MAX(0,G61*(1+Debts!$C$12/12)-MIN(G61*(1+Debts!$C$12/12),Debts!$D$12)-IF(AND(G61&gt;0,Debts!$E$12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H62" s="22" t="n">
        <f aca="false">IF(H61&lt;=0,0,MAX(0,H61*(1+Debts!$C$13/12)-MIN(H61*(1+Debts!$C$13/12),Debts!$D$13)-IF(AND(H61&gt;0,Debts!$E$13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I62" s="22" t="n">
        <f aca="false">IF(I61&lt;=0,0,MAX(0,I61*(1+Debts!$C$14/12)-MIN(I61*(1+Debts!$C$14/12),Debts!$D$14)-IF(AND(I61&gt;0,Debts!$E$14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J62" s="22" t="n">
        <f aca="false">IF(J61&lt;=0,0,MAX(0,J61*(1+Debts!$C$15/12)-MIN(J61*(1+Debts!$C$15/12),Debts!$D$15)-IF(AND(J61&gt;0,Debts!$E$15=MIN(IF(C61&gt;0,Debts!$E$8,999),IF(D61&gt;0,Debts!$E$9,999),IF(E61&gt;0,Debts!$E$10,999),IF(F61&gt;0,Debts!$E$11,999),IF(G61&gt;0,Debts!$E$12,999),IF(H61&gt;0,Debts!$E$13,999),IF(I61&gt;0,Debts!$E$14,999),IF(J61&gt;0,Debts!$E$15,999))),MAX(0,(B62-(MIN(C61+0,C61*(1+Debts!$C$8/12))*0+MIN(C61*(1+Debts!$C$8/12),Debts!$D$8)+MIN(C61+0,D61*(1+Debts!$C$9/12))*0+MIN(D61*(1+Debts!$C$9/12),Debts!$D$9)+MIN(C61+0,E61*(1+Debts!$C$10/12))*0+MIN(E61*(1+Debts!$C$10/12),Debts!$D$10)+MIN(C61+0,F61*(1+Debts!$C$11/12))*0+MIN(F61*(1+Debts!$C$11/12),Debts!$D$11)+MIN(C61+0,G61*(1+Debts!$C$12/12))*0+MIN(G61*(1+Debts!$C$12/12),Debts!$D$12)+MIN(C61+0,H61*(1+Debts!$C$13/12))*0+MIN(H61*(1+Debts!$C$13/12),Debts!$D$13)+MIN(C61+0,I61*(1+Debts!$C$14/12))*0+MIN(I61*(1+Debts!$C$14/12),Debts!$D$14)+MIN(C61+0,J61*(1+Debts!$C$15/12))*0+MIN(J61*(1+Debts!$C$15/12),Debts!$D$15)))),0)))</f>
        <v>0</v>
      </c>
      <c r="K62" s="22" t="n">
        <f aca="false">IF(C61&gt;0,C61*Debts!$C$8/12,0)+IF(D61&gt;0,D61*Debts!$C$9/12,0)+IF(E61&gt;0,E61*Debts!$C$10/12,0)+IF(F61&gt;0,F61*Debts!$C$11/12,0)+IF(G61&gt;0,G61*Debts!$C$12/12,0)+IF(H61&gt;0,H61*Debts!$C$13/12,0)+IF(I61&gt;0,I61*Debts!$C$14/12,0)+IF(J61&gt;0,J61*Debts!$C$15/12,0)</f>
        <v>0</v>
      </c>
      <c r="L62" s="22" t="n">
        <f aca="false">SUM(C62:J62)</f>
        <v>0</v>
      </c>
    </row>
    <row r="63" customFormat="false" ht="15" hidden="false" customHeight="false" outlineLevel="0" collapsed="false">
      <c r="A63" s="19" t="n">
        <f aca="false">56</f>
        <v>56</v>
      </c>
      <c r="B63" s="27" t="n">
        <f aca="false">IF(L62&lt;=0,0,Debts!$D$16+Debts!$B$4)</f>
        <v>0</v>
      </c>
      <c r="C63" s="22" t="n">
        <f aca="false">IF(C62&lt;=0,0,MAX(0,C62*(1+Debts!$C$8/12)-MIN(C62*(1+Debts!$C$8/12),Debts!$D$8)-IF(AND(C62&gt;0,Debts!$E$8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D63" s="22" t="n">
        <f aca="false">IF(D62&lt;=0,0,MAX(0,D62*(1+Debts!$C$9/12)-MIN(D62*(1+Debts!$C$9/12),Debts!$D$9)-IF(AND(D62&gt;0,Debts!$E$9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E63" s="22" t="n">
        <f aca="false">IF(E62&lt;=0,0,MAX(0,E62*(1+Debts!$C$10/12)-MIN(E62*(1+Debts!$C$10/12),Debts!$D$10)-IF(AND(E62&gt;0,Debts!$E$10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F63" s="22" t="n">
        <f aca="false">IF(F62&lt;=0,0,MAX(0,F62*(1+Debts!$C$11/12)-MIN(F62*(1+Debts!$C$11/12),Debts!$D$11)-IF(AND(F62&gt;0,Debts!$E$11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G63" s="22" t="n">
        <f aca="false">IF(G62&lt;=0,0,MAX(0,G62*(1+Debts!$C$12/12)-MIN(G62*(1+Debts!$C$12/12),Debts!$D$12)-IF(AND(G62&gt;0,Debts!$E$12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H63" s="22" t="n">
        <f aca="false">IF(H62&lt;=0,0,MAX(0,H62*(1+Debts!$C$13/12)-MIN(H62*(1+Debts!$C$13/12),Debts!$D$13)-IF(AND(H62&gt;0,Debts!$E$13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I63" s="22" t="n">
        <f aca="false">IF(I62&lt;=0,0,MAX(0,I62*(1+Debts!$C$14/12)-MIN(I62*(1+Debts!$C$14/12),Debts!$D$14)-IF(AND(I62&gt;0,Debts!$E$14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J63" s="22" t="n">
        <f aca="false">IF(J62&lt;=0,0,MAX(0,J62*(1+Debts!$C$15/12)-MIN(J62*(1+Debts!$C$15/12),Debts!$D$15)-IF(AND(J62&gt;0,Debts!$E$15=MIN(IF(C62&gt;0,Debts!$E$8,999),IF(D62&gt;0,Debts!$E$9,999),IF(E62&gt;0,Debts!$E$10,999),IF(F62&gt;0,Debts!$E$11,999),IF(G62&gt;0,Debts!$E$12,999),IF(H62&gt;0,Debts!$E$13,999),IF(I62&gt;0,Debts!$E$14,999),IF(J62&gt;0,Debts!$E$15,999))),MAX(0,(B63-(MIN(C62+0,C62*(1+Debts!$C$8/12))*0+MIN(C62*(1+Debts!$C$8/12),Debts!$D$8)+MIN(C62+0,D62*(1+Debts!$C$9/12))*0+MIN(D62*(1+Debts!$C$9/12),Debts!$D$9)+MIN(C62+0,E62*(1+Debts!$C$10/12))*0+MIN(E62*(1+Debts!$C$10/12),Debts!$D$10)+MIN(C62+0,F62*(1+Debts!$C$11/12))*0+MIN(F62*(1+Debts!$C$11/12),Debts!$D$11)+MIN(C62+0,G62*(1+Debts!$C$12/12))*0+MIN(G62*(1+Debts!$C$12/12),Debts!$D$12)+MIN(C62+0,H62*(1+Debts!$C$13/12))*0+MIN(H62*(1+Debts!$C$13/12),Debts!$D$13)+MIN(C62+0,I62*(1+Debts!$C$14/12))*0+MIN(I62*(1+Debts!$C$14/12),Debts!$D$14)+MIN(C62+0,J62*(1+Debts!$C$15/12))*0+MIN(J62*(1+Debts!$C$15/12),Debts!$D$15)))),0)))</f>
        <v>0</v>
      </c>
      <c r="K63" s="22" t="n">
        <f aca="false">IF(C62&gt;0,C62*Debts!$C$8/12,0)+IF(D62&gt;0,D62*Debts!$C$9/12,0)+IF(E62&gt;0,E62*Debts!$C$10/12,0)+IF(F62&gt;0,F62*Debts!$C$11/12,0)+IF(G62&gt;0,G62*Debts!$C$12/12,0)+IF(H62&gt;0,H62*Debts!$C$13/12,0)+IF(I62&gt;0,I62*Debts!$C$14/12,0)+IF(J62&gt;0,J62*Debts!$C$15/12,0)</f>
        <v>0</v>
      </c>
      <c r="L63" s="22" t="n">
        <f aca="false">SUM(C63:J63)</f>
        <v>0</v>
      </c>
    </row>
    <row r="64" customFormat="false" ht="15" hidden="false" customHeight="false" outlineLevel="0" collapsed="false">
      <c r="A64" s="19" t="n">
        <f aca="false">57</f>
        <v>57</v>
      </c>
      <c r="B64" s="27" t="n">
        <f aca="false">IF(L63&lt;=0,0,Debts!$D$16+Debts!$B$4)</f>
        <v>0</v>
      </c>
      <c r="C64" s="22" t="n">
        <f aca="false">IF(C63&lt;=0,0,MAX(0,C63*(1+Debts!$C$8/12)-MIN(C63*(1+Debts!$C$8/12),Debts!$D$8)-IF(AND(C63&gt;0,Debts!$E$8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D64" s="22" t="n">
        <f aca="false">IF(D63&lt;=0,0,MAX(0,D63*(1+Debts!$C$9/12)-MIN(D63*(1+Debts!$C$9/12),Debts!$D$9)-IF(AND(D63&gt;0,Debts!$E$9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E64" s="22" t="n">
        <f aca="false">IF(E63&lt;=0,0,MAX(0,E63*(1+Debts!$C$10/12)-MIN(E63*(1+Debts!$C$10/12),Debts!$D$10)-IF(AND(E63&gt;0,Debts!$E$10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F64" s="22" t="n">
        <f aca="false">IF(F63&lt;=0,0,MAX(0,F63*(1+Debts!$C$11/12)-MIN(F63*(1+Debts!$C$11/12),Debts!$D$11)-IF(AND(F63&gt;0,Debts!$E$11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G64" s="22" t="n">
        <f aca="false">IF(G63&lt;=0,0,MAX(0,G63*(1+Debts!$C$12/12)-MIN(G63*(1+Debts!$C$12/12),Debts!$D$12)-IF(AND(G63&gt;0,Debts!$E$12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H64" s="22" t="n">
        <f aca="false">IF(H63&lt;=0,0,MAX(0,H63*(1+Debts!$C$13/12)-MIN(H63*(1+Debts!$C$13/12),Debts!$D$13)-IF(AND(H63&gt;0,Debts!$E$13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I64" s="22" t="n">
        <f aca="false">IF(I63&lt;=0,0,MAX(0,I63*(1+Debts!$C$14/12)-MIN(I63*(1+Debts!$C$14/12),Debts!$D$14)-IF(AND(I63&gt;0,Debts!$E$14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J64" s="22" t="n">
        <f aca="false">IF(J63&lt;=0,0,MAX(0,J63*(1+Debts!$C$15/12)-MIN(J63*(1+Debts!$C$15/12),Debts!$D$15)-IF(AND(J63&gt;0,Debts!$E$15=MIN(IF(C63&gt;0,Debts!$E$8,999),IF(D63&gt;0,Debts!$E$9,999),IF(E63&gt;0,Debts!$E$10,999),IF(F63&gt;0,Debts!$E$11,999),IF(G63&gt;0,Debts!$E$12,999),IF(H63&gt;0,Debts!$E$13,999),IF(I63&gt;0,Debts!$E$14,999),IF(J63&gt;0,Debts!$E$15,999))),MAX(0,(B64-(MIN(C63+0,C63*(1+Debts!$C$8/12))*0+MIN(C63*(1+Debts!$C$8/12),Debts!$D$8)+MIN(C63+0,D63*(1+Debts!$C$9/12))*0+MIN(D63*(1+Debts!$C$9/12),Debts!$D$9)+MIN(C63+0,E63*(1+Debts!$C$10/12))*0+MIN(E63*(1+Debts!$C$10/12),Debts!$D$10)+MIN(C63+0,F63*(1+Debts!$C$11/12))*0+MIN(F63*(1+Debts!$C$11/12),Debts!$D$11)+MIN(C63+0,G63*(1+Debts!$C$12/12))*0+MIN(G63*(1+Debts!$C$12/12),Debts!$D$12)+MIN(C63+0,H63*(1+Debts!$C$13/12))*0+MIN(H63*(1+Debts!$C$13/12),Debts!$D$13)+MIN(C63+0,I63*(1+Debts!$C$14/12))*0+MIN(I63*(1+Debts!$C$14/12),Debts!$D$14)+MIN(C63+0,J63*(1+Debts!$C$15/12))*0+MIN(J63*(1+Debts!$C$15/12),Debts!$D$15)))),0)))</f>
        <v>0</v>
      </c>
      <c r="K64" s="22" t="n">
        <f aca="false">IF(C63&gt;0,C63*Debts!$C$8/12,0)+IF(D63&gt;0,D63*Debts!$C$9/12,0)+IF(E63&gt;0,E63*Debts!$C$10/12,0)+IF(F63&gt;0,F63*Debts!$C$11/12,0)+IF(G63&gt;0,G63*Debts!$C$12/12,0)+IF(H63&gt;0,H63*Debts!$C$13/12,0)+IF(I63&gt;0,I63*Debts!$C$14/12,0)+IF(J63&gt;0,J63*Debts!$C$15/12,0)</f>
        <v>0</v>
      </c>
      <c r="L64" s="22" t="n">
        <f aca="false">SUM(C64:J64)</f>
        <v>0</v>
      </c>
    </row>
    <row r="65" customFormat="false" ht="15" hidden="false" customHeight="false" outlineLevel="0" collapsed="false">
      <c r="A65" s="19" t="n">
        <f aca="false">58</f>
        <v>58</v>
      </c>
      <c r="B65" s="27" t="n">
        <f aca="false">IF(L64&lt;=0,0,Debts!$D$16+Debts!$B$4)</f>
        <v>0</v>
      </c>
      <c r="C65" s="22" t="n">
        <f aca="false">IF(C64&lt;=0,0,MAX(0,C64*(1+Debts!$C$8/12)-MIN(C64*(1+Debts!$C$8/12),Debts!$D$8)-IF(AND(C64&gt;0,Debts!$E$8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D65" s="22" t="n">
        <f aca="false">IF(D64&lt;=0,0,MAX(0,D64*(1+Debts!$C$9/12)-MIN(D64*(1+Debts!$C$9/12),Debts!$D$9)-IF(AND(D64&gt;0,Debts!$E$9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E65" s="22" t="n">
        <f aca="false">IF(E64&lt;=0,0,MAX(0,E64*(1+Debts!$C$10/12)-MIN(E64*(1+Debts!$C$10/12),Debts!$D$10)-IF(AND(E64&gt;0,Debts!$E$10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F65" s="22" t="n">
        <f aca="false">IF(F64&lt;=0,0,MAX(0,F64*(1+Debts!$C$11/12)-MIN(F64*(1+Debts!$C$11/12),Debts!$D$11)-IF(AND(F64&gt;0,Debts!$E$11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G65" s="22" t="n">
        <f aca="false">IF(G64&lt;=0,0,MAX(0,G64*(1+Debts!$C$12/12)-MIN(G64*(1+Debts!$C$12/12),Debts!$D$12)-IF(AND(G64&gt;0,Debts!$E$12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H65" s="22" t="n">
        <f aca="false">IF(H64&lt;=0,0,MAX(0,H64*(1+Debts!$C$13/12)-MIN(H64*(1+Debts!$C$13/12),Debts!$D$13)-IF(AND(H64&gt;0,Debts!$E$13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I65" s="22" t="n">
        <f aca="false">IF(I64&lt;=0,0,MAX(0,I64*(1+Debts!$C$14/12)-MIN(I64*(1+Debts!$C$14/12),Debts!$D$14)-IF(AND(I64&gt;0,Debts!$E$14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J65" s="22" t="n">
        <f aca="false">IF(J64&lt;=0,0,MAX(0,J64*(1+Debts!$C$15/12)-MIN(J64*(1+Debts!$C$15/12),Debts!$D$15)-IF(AND(J64&gt;0,Debts!$E$15=MIN(IF(C64&gt;0,Debts!$E$8,999),IF(D64&gt;0,Debts!$E$9,999),IF(E64&gt;0,Debts!$E$10,999),IF(F64&gt;0,Debts!$E$11,999),IF(G64&gt;0,Debts!$E$12,999),IF(H64&gt;0,Debts!$E$13,999),IF(I64&gt;0,Debts!$E$14,999),IF(J64&gt;0,Debts!$E$15,999))),MAX(0,(B65-(MIN(C64+0,C64*(1+Debts!$C$8/12))*0+MIN(C64*(1+Debts!$C$8/12),Debts!$D$8)+MIN(C64+0,D64*(1+Debts!$C$9/12))*0+MIN(D64*(1+Debts!$C$9/12),Debts!$D$9)+MIN(C64+0,E64*(1+Debts!$C$10/12))*0+MIN(E64*(1+Debts!$C$10/12),Debts!$D$10)+MIN(C64+0,F64*(1+Debts!$C$11/12))*0+MIN(F64*(1+Debts!$C$11/12),Debts!$D$11)+MIN(C64+0,G64*(1+Debts!$C$12/12))*0+MIN(G64*(1+Debts!$C$12/12),Debts!$D$12)+MIN(C64+0,H64*(1+Debts!$C$13/12))*0+MIN(H64*(1+Debts!$C$13/12),Debts!$D$13)+MIN(C64+0,I64*(1+Debts!$C$14/12))*0+MIN(I64*(1+Debts!$C$14/12),Debts!$D$14)+MIN(C64+0,J64*(1+Debts!$C$15/12))*0+MIN(J64*(1+Debts!$C$15/12),Debts!$D$15)))),0)))</f>
        <v>0</v>
      </c>
      <c r="K65" s="22" t="n">
        <f aca="false">IF(C64&gt;0,C64*Debts!$C$8/12,0)+IF(D64&gt;0,D64*Debts!$C$9/12,0)+IF(E64&gt;0,E64*Debts!$C$10/12,0)+IF(F64&gt;0,F64*Debts!$C$11/12,0)+IF(G64&gt;0,G64*Debts!$C$12/12,0)+IF(H64&gt;0,H64*Debts!$C$13/12,0)+IF(I64&gt;0,I64*Debts!$C$14/12,0)+IF(J64&gt;0,J64*Debts!$C$15/12,0)</f>
        <v>0</v>
      </c>
      <c r="L65" s="22" t="n">
        <f aca="false">SUM(C65:J65)</f>
        <v>0</v>
      </c>
    </row>
    <row r="66" customFormat="false" ht="15" hidden="false" customHeight="false" outlineLevel="0" collapsed="false">
      <c r="A66" s="19" t="n">
        <f aca="false">59</f>
        <v>59</v>
      </c>
      <c r="B66" s="27" t="n">
        <f aca="false">IF(L65&lt;=0,0,Debts!$D$16+Debts!$B$4)</f>
        <v>0</v>
      </c>
      <c r="C66" s="22" t="n">
        <f aca="false">IF(C65&lt;=0,0,MAX(0,C65*(1+Debts!$C$8/12)-MIN(C65*(1+Debts!$C$8/12),Debts!$D$8)-IF(AND(C65&gt;0,Debts!$E$8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D66" s="22" t="n">
        <f aca="false">IF(D65&lt;=0,0,MAX(0,D65*(1+Debts!$C$9/12)-MIN(D65*(1+Debts!$C$9/12),Debts!$D$9)-IF(AND(D65&gt;0,Debts!$E$9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E66" s="22" t="n">
        <f aca="false">IF(E65&lt;=0,0,MAX(0,E65*(1+Debts!$C$10/12)-MIN(E65*(1+Debts!$C$10/12),Debts!$D$10)-IF(AND(E65&gt;0,Debts!$E$10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F66" s="22" t="n">
        <f aca="false">IF(F65&lt;=0,0,MAX(0,F65*(1+Debts!$C$11/12)-MIN(F65*(1+Debts!$C$11/12),Debts!$D$11)-IF(AND(F65&gt;0,Debts!$E$11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G66" s="22" t="n">
        <f aca="false">IF(G65&lt;=0,0,MAX(0,G65*(1+Debts!$C$12/12)-MIN(G65*(1+Debts!$C$12/12),Debts!$D$12)-IF(AND(G65&gt;0,Debts!$E$12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H66" s="22" t="n">
        <f aca="false">IF(H65&lt;=0,0,MAX(0,H65*(1+Debts!$C$13/12)-MIN(H65*(1+Debts!$C$13/12),Debts!$D$13)-IF(AND(H65&gt;0,Debts!$E$13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I66" s="22" t="n">
        <f aca="false">IF(I65&lt;=0,0,MAX(0,I65*(1+Debts!$C$14/12)-MIN(I65*(1+Debts!$C$14/12),Debts!$D$14)-IF(AND(I65&gt;0,Debts!$E$14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J66" s="22" t="n">
        <f aca="false">IF(J65&lt;=0,0,MAX(0,J65*(1+Debts!$C$15/12)-MIN(J65*(1+Debts!$C$15/12),Debts!$D$15)-IF(AND(J65&gt;0,Debts!$E$15=MIN(IF(C65&gt;0,Debts!$E$8,999),IF(D65&gt;0,Debts!$E$9,999),IF(E65&gt;0,Debts!$E$10,999),IF(F65&gt;0,Debts!$E$11,999),IF(G65&gt;0,Debts!$E$12,999),IF(H65&gt;0,Debts!$E$13,999),IF(I65&gt;0,Debts!$E$14,999),IF(J65&gt;0,Debts!$E$15,999))),MAX(0,(B66-(MIN(C65+0,C65*(1+Debts!$C$8/12))*0+MIN(C65*(1+Debts!$C$8/12),Debts!$D$8)+MIN(C65+0,D65*(1+Debts!$C$9/12))*0+MIN(D65*(1+Debts!$C$9/12),Debts!$D$9)+MIN(C65+0,E65*(1+Debts!$C$10/12))*0+MIN(E65*(1+Debts!$C$10/12),Debts!$D$10)+MIN(C65+0,F65*(1+Debts!$C$11/12))*0+MIN(F65*(1+Debts!$C$11/12),Debts!$D$11)+MIN(C65+0,G65*(1+Debts!$C$12/12))*0+MIN(G65*(1+Debts!$C$12/12),Debts!$D$12)+MIN(C65+0,H65*(1+Debts!$C$13/12))*0+MIN(H65*(1+Debts!$C$13/12),Debts!$D$13)+MIN(C65+0,I65*(1+Debts!$C$14/12))*0+MIN(I65*(1+Debts!$C$14/12),Debts!$D$14)+MIN(C65+0,J65*(1+Debts!$C$15/12))*0+MIN(J65*(1+Debts!$C$15/12),Debts!$D$15)))),0)))</f>
        <v>0</v>
      </c>
      <c r="K66" s="22" t="n">
        <f aca="false">IF(C65&gt;0,C65*Debts!$C$8/12,0)+IF(D65&gt;0,D65*Debts!$C$9/12,0)+IF(E65&gt;0,E65*Debts!$C$10/12,0)+IF(F65&gt;0,F65*Debts!$C$11/12,0)+IF(G65&gt;0,G65*Debts!$C$12/12,0)+IF(H65&gt;0,H65*Debts!$C$13/12,0)+IF(I65&gt;0,I65*Debts!$C$14/12,0)+IF(J65&gt;0,J65*Debts!$C$15/12,0)</f>
        <v>0</v>
      </c>
      <c r="L66" s="22" t="n">
        <f aca="false">SUM(C66:J66)</f>
        <v>0</v>
      </c>
    </row>
    <row r="67" customFormat="false" ht="15" hidden="false" customHeight="false" outlineLevel="0" collapsed="false">
      <c r="A67" s="19" t="n">
        <f aca="false">60</f>
        <v>60</v>
      </c>
      <c r="B67" s="27" t="n">
        <f aca="false">IF(L66&lt;=0,0,Debts!$D$16+Debts!$B$4)</f>
        <v>0</v>
      </c>
      <c r="C67" s="22" t="n">
        <f aca="false">IF(C66&lt;=0,0,MAX(0,C66*(1+Debts!$C$8/12)-MIN(C66*(1+Debts!$C$8/12),Debts!$D$8)-IF(AND(C66&gt;0,Debts!$E$8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D67" s="22" t="n">
        <f aca="false">IF(D66&lt;=0,0,MAX(0,D66*(1+Debts!$C$9/12)-MIN(D66*(1+Debts!$C$9/12),Debts!$D$9)-IF(AND(D66&gt;0,Debts!$E$9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E67" s="22" t="n">
        <f aca="false">IF(E66&lt;=0,0,MAX(0,E66*(1+Debts!$C$10/12)-MIN(E66*(1+Debts!$C$10/12),Debts!$D$10)-IF(AND(E66&gt;0,Debts!$E$10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F67" s="22" t="n">
        <f aca="false">IF(F66&lt;=0,0,MAX(0,F66*(1+Debts!$C$11/12)-MIN(F66*(1+Debts!$C$11/12),Debts!$D$11)-IF(AND(F66&gt;0,Debts!$E$11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G67" s="22" t="n">
        <f aca="false">IF(G66&lt;=0,0,MAX(0,G66*(1+Debts!$C$12/12)-MIN(G66*(1+Debts!$C$12/12),Debts!$D$12)-IF(AND(G66&gt;0,Debts!$E$12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H67" s="22" t="n">
        <f aca="false">IF(H66&lt;=0,0,MAX(0,H66*(1+Debts!$C$13/12)-MIN(H66*(1+Debts!$C$13/12),Debts!$D$13)-IF(AND(H66&gt;0,Debts!$E$13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I67" s="22" t="n">
        <f aca="false">IF(I66&lt;=0,0,MAX(0,I66*(1+Debts!$C$14/12)-MIN(I66*(1+Debts!$C$14/12),Debts!$D$14)-IF(AND(I66&gt;0,Debts!$E$14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J67" s="22" t="n">
        <f aca="false">IF(J66&lt;=0,0,MAX(0,J66*(1+Debts!$C$15/12)-MIN(J66*(1+Debts!$C$15/12),Debts!$D$15)-IF(AND(J66&gt;0,Debts!$E$15=MIN(IF(C66&gt;0,Debts!$E$8,999),IF(D66&gt;0,Debts!$E$9,999),IF(E66&gt;0,Debts!$E$10,999),IF(F66&gt;0,Debts!$E$11,999),IF(G66&gt;0,Debts!$E$12,999),IF(H66&gt;0,Debts!$E$13,999),IF(I66&gt;0,Debts!$E$14,999),IF(J66&gt;0,Debts!$E$15,999))),MAX(0,(B67-(MIN(C66+0,C66*(1+Debts!$C$8/12))*0+MIN(C66*(1+Debts!$C$8/12),Debts!$D$8)+MIN(C66+0,D66*(1+Debts!$C$9/12))*0+MIN(D66*(1+Debts!$C$9/12),Debts!$D$9)+MIN(C66+0,E66*(1+Debts!$C$10/12))*0+MIN(E66*(1+Debts!$C$10/12),Debts!$D$10)+MIN(C66+0,F66*(1+Debts!$C$11/12))*0+MIN(F66*(1+Debts!$C$11/12),Debts!$D$11)+MIN(C66+0,G66*(1+Debts!$C$12/12))*0+MIN(G66*(1+Debts!$C$12/12),Debts!$D$12)+MIN(C66+0,H66*(1+Debts!$C$13/12))*0+MIN(H66*(1+Debts!$C$13/12),Debts!$D$13)+MIN(C66+0,I66*(1+Debts!$C$14/12))*0+MIN(I66*(1+Debts!$C$14/12),Debts!$D$14)+MIN(C66+0,J66*(1+Debts!$C$15/12))*0+MIN(J66*(1+Debts!$C$15/12),Debts!$D$15)))),0)))</f>
        <v>0</v>
      </c>
      <c r="K67" s="22" t="n">
        <f aca="false">IF(C66&gt;0,C66*Debts!$C$8/12,0)+IF(D66&gt;0,D66*Debts!$C$9/12,0)+IF(E66&gt;0,E66*Debts!$C$10/12,0)+IF(F66&gt;0,F66*Debts!$C$11/12,0)+IF(G66&gt;0,G66*Debts!$C$12/12,0)+IF(H66&gt;0,H66*Debts!$C$13/12,0)+IF(I66&gt;0,I66*Debts!$C$14/12,0)+IF(J66&gt;0,J66*Debts!$C$15/12,0)</f>
        <v>0</v>
      </c>
      <c r="L67" s="22" t="n">
        <f aca="false">SUM(C67:J67)</f>
        <v>0</v>
      </c>
    </row>
    <row r="68" customFormat="false" ht="15" hidden="false" customHeight="false" outlineLevel="0" collapsed="false">
      <c r="A68" s="19" t="n">
        <f aca="false">61</f>
        <v>61</v>
      </c>
      <c r="B68" s="27" t="n">
        <f aca="false">IF(L67&lt;=0,0,Debts!$D$16+Debts!$B$4)</f>
        <v>0</v>
      </c>
      <c r="C68" s="22" t="n">
        <f aca="false">IF(C67&lt;=0,0,MAX(0,C67*(1+Debts!$C$8/12)-MIN(C67*(1+Debts!$C$8/12),Debts!$D$8)-IF(AND(C67&gt;0,Debts!$E$8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D68" s="22" t="n">
        <f aca="false">IF(D67&lt;=0,0,MAX(0,D67*(1+Debts!$C$9/12)-MIN(D67*(1+Debts!$C$9/12),Debts!$D$9)-IF(AND(D67&gt;0,Debts!$E$9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E68" s="22" t="n">
        <f aca="false">IF(E67&lt;=0,0,MAX(0,E67*(1+Debts!$C$10/12)-MIN(E67*(1+Debts!$C$10/12),Debts!$D$10)-IF(AND(E67&gt;0,Debts!$E$10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F68" s="22" t="n">
        <f aca="false">IF(F67&lt;=0,0,MAX(0,F67*(1+Debts!$C$11/12)-MIN(F67*(1+Debts!$C$11/12),Debts!$D$11)-IF(AND(F67&gt;0,Debts!$E$11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G68" s="22" t="n">
        <f aca="false">IF(G67&lt;=0,0,MAX(0,G67*(1+Debts!$C$12/12)-MIN(G67*(1+Debts!$C$12/12),Debts!$D$12)-IF(AND(G67&gt;0,Debts!$E$12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H68" s="22" t="n">
        <f aca="false">IF(H67&lt;=0,0,MAX(0,H67*(1+Debts!$C$13/12)-MIN(H67*(1+Debts!$C$13/12),Debts!$D$13)-IF(AND(H67&gt;0,Debts!$E$13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I68" s="22" t="n">
        <f aca="false">IF(I67&lt;=0,0,MAX(0,I67*(1+Debts!$C$14/12)-MIN(I67*(1+Debts!$C$14/12),Debts!$D$14)-IF(AND(I67&gt;0,Debts!$E$14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J68" s="22" t="n">
        <f aca="false">IF(J67&lt;=0,0,MAX(0,J67*(1+Debts!$C$15/12)-MIN(J67*(1+Debts!$C$15/12),Debts!$D$15)-IF(AND(J67&gt;0,Debts!$E$15=MIN(IF(C67&gt;0,Debts!$E$8,999),IF(D67&gt;0,Debts!$E$9,999),IF(E67&gt;0,Debts!$E$10,999),IF(F67&gt;0,Debts!$E$11,999),IF(G67&gt;0,Debts!$E$12,999),IF(H67&gt;0,Debts!$E$13,999),IF(I67&gt;0,Debts!$E$14,999),IF(J67&gt;0,Debts!$E$15,999))),MAX(0,(B68-(MIN(C67+0,C67*(1+Debts!$C$8/12))*0+MIN(C67*(1+Debts!$C$8/12),Debts!$D$8)+MIN(C67+0,D67*(1+Debts!$C$9/12))*0+MIN(D67*(1+Debts!$C$9/12),Debts!$D$9)+MIN(C67+0,E67*(1+Debts!$C$10/12))*0+MIN(E67*(1+Debts!$C$10/12),Debts!$D$10)+MIN(C67+0,F67*(1+Debts!$C$11/12))*0+MIN(F67*(1+Debts!$C$11/12),Debts!$D$11)+MIN(C67+0,G67*(1+Debts!$C$12/12))*0+MIN(G67*(1+Debts!$C$12/12),Debts!$D$12)+MIN(C67+0,H67*(1+Debts!$C$13/12))*0+MIN(H67*(1+Debts!$C$13/12),Debts!$D$13)+MIN(C67+0,I67*(1+Debts!$C$14/12))*0+MIN(I67*(1+Debts!$C$14/12),Debts!$D$14)+MIN(C67+0,J67*(1+Debts!$C$15/12))*0+MIN(J67*(1+Debts!$C$15/12),Debts!$D$15)))),0)))</f>
        <v>0</v>
      </c>
      <c r="K68" s="22" t="n">
        <f aca="false">IF(C67&gt;0,C67*Debts!$C$8/12,0)+IF(D67&gt;0,D67*Debts!$C$9/12,0)+IF(E67&gt;0,E67*Debts!$C$10/12,0)+IF(F67&gt;0,F67*Debts!$C$11/12,0)+IF(G67&gt;0,G67*Debts!$C$12/12,0)+IF(H67&gt;0,H67*Debts!$C$13/12,0)+IF(I67&gt;0,I67*Debts!$C$14/12,0)+IF(J67&gt;0,J67*Debts!$C$15/12,0)</f>
        <v>0</v>
      </c>
      <c r="L68" s="22" t="n">
        <f aca="false">SUM(C68:J68)</f>
        <v>0</v>
      </c>
    </row>
    <row r="69" customFormat="false" ht="15" hidden="false" customHeight="false" outlineLevel="0" collapsed="false">
      <c r="A69" s="19" t="n">
        <f aca="false">62</f>
        <v>62</v>
      </c>
      <c r="B69" s="27" t="n">
        <f aca="false">IF(L68&lt;=0,0,Debts!$D$16+Debts!$B$4)</f>
        <v>0</v>
      </c>
      <c r="C69" s="22" t="n">
        <f aca="false">IF(C68&lt;=0,0,MAX(0,C68*(1+Debts!$C$8/12)-MIN(C68*(1+Debts!$C$8/12),Debts!$D$8)-IF(AND(C68&gt;0,Debts!$E$8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D69" s="22" t="n">
        <f aca="false">IF(D68&lt;=0,0,MAX(0,D68*(1+Debts!$C$9/12)-MIN(D68*(1+Debts!$C$9/12),Debts!$D$9)-IF(AND(D68&gt;0,Debts!$E$9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E69" s="22" t="n">
        <f aca="false">IF(E68&lt;=0,0,MAX(0,E68*(1+Debts!$C$10/12)-MIN(E68*(1+Debts!$C$10/12),Debts!$D$10)-IF(AND(E68&gt;0,Debts!$E$10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F69" s="22" t="n">
        <f aca="false">IF(F68&lt;=0,0,MAX(0,F68*(1+Debts!$C$11/12)-MIN(F68*(1+Debts!$C$11/12),Debts!$D$11)-IF(AND(F68&gt;0,Debts!$E$11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G69" s="22" t="n">
        <f aca="false">IF(G68&lt;=0,0,MAX(0,G68*(1+Debts!$C$12/12)-MIN(G68*(1+Debts!$C$12/12),Debts!$D$12)-IF(AND(G68&gt;0,Debts!$E$12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H69" s="22" t="n">
        <f aca="false">IF(H68&lt;=0,0,MAX(0,H68*(1+Debts!$C$13/12)-MIN(H68*(1+Debts!$C$13/12),Debts!$D$13)-IF(AND(H68&gt;0,Debts!$E$13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I69" s="22" t="n">
        <f aca="false">IF(I68&lt;=0,0,MAX(0,I68*(1+Debts!$C$14/12)-MIN(I68*(1+Debts!$C$14/12),Debts!$D$14)-IF(AND(I68&gt;0,Debts!$E$14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J69" s="22" t="n">
        <f aca="false">IF(J68&lt;=0,0,MAX(0,J68*(1+Debts!$C$15/12)-MIN(J68*(1+Debts!$C$15/12),Debts!$D$15)-IF(AND(J68&gt;0,Debts!$E$15=MIN(IF(C68&gt;0,Debts!$E$8,999),IF(D68&gt;0,Debts!$E$9,999),IF(E68&gt;0,Debts!$E$10,999),IF(F68&gt;0,Debts!$E$11,999),IF(G68&gt;0,Debts!$E$12,999),IF(H68&gt;0,Debts!$E$13,999),IF(I68&gt;0,Debts!$E$14,999),IF(J68&gt;0,Debts!$E$15,999))),MAX(0,(B69-(MIN(C68+0,C68*(1+Debts!$C$8/12))*0+MIN(C68*(1+Debts!$C$8/12),Debts!$D$8)+MIN(C68+0,D68*(1+Debts!$C$9/12))*0+MIN(D68*(1+Debts!$C$9/12),Debts!$D$9)+MIN(C68+0,E68*(1+Debts!$C$10/12))*0+MIN(E68*(1+Debts!$C$10/12),Debts!$D$10)+MIN(C68+0,F68*(1+Debts!$C$11/12))*0+MIN(F68*(1+Debts!$C$11/12),Debts!$D$11)+MIN(C68+0,G68*(1+Debts!$C$12/12))*0+MIN(G68*(1+Debts!$C$12/12),Debts!$D$12)+MIN(C68+0,H68*(1+Debts!$C$13/12))*0+MIN(H68*(1+Debts!$C$13/12),Debts!$D$13)+MIN(C68+0,I68*(1+Debts!$C$14/12))*0+MIN(I68*(1+Debts!$C$14/12),Debts!$D$14)+MIN(C68+0,J68*(1+Debts!$C$15/12))*0+MIN(J68*(1+Debts!$C$15/12),Debts!$D$15)))),0)))</f>
        <v>0</v>
      </c>
      <c r="K69" s="22" t="n">
        <f aca="false">IF(C68&gt;0,C68*Debts!$C$8/12,0)+IF(D68&gt;0,D68*Debts!$C$9/12,0)+IF(E68&gt;0,E68*Debts!$C$10/12,0)+IF(F68&gt;0,F68*Debts!$C$11/12,0)+IF(G68&gt;0,G68*Debts!$C$12/12,0)+IF(H68&gt;0,H68*Debts!$C$13/12,0)+IF(I68&gt;0,I68*Debts!$C$14/12,0)+IF(J68&gt;0,J68*Debts!$C$15/12,0)</f>
        <v>0</v>
      </c>
      <c r="L69" s="22" t="n">
        <f aca="false">SUM(C69:J69)</f>
        <v>0</v>
      </c>
    </row>
    <row r="70" customFormat="false" ht="15" hidden="false" customHeight="false" outlineLevel="0" collapsed="false">
      <c r="A70" s="19" t="n">
        <f aca="false">63</f>
        <v>63</v>
      </c>
      <c r="B70" s="27" t="n">
        <f aca="false">IF(L69&lt;=0,0,Debts!$D$16+Debts!$B$4)</f>
        <v>0</v>
      </c>
      <c r="C70" s="22" t="n">
        <f aca="false">IF(C69&lt;=0,0,MAX(0,C69*(1+Debts!$C$8/12)-MIN(C69*(1+Debts!$C$8/12),Debts!$D$8)-IF(AND(C69&gt;0,Debts!$E$8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D70" s="22" t="n">
        <f aca="false">IF(D69&lt;=0,0,MAX(0,D69*(1+Debts!$C$9/12)-MIN(D69*(1+Debts!$C$9/12),Debts!$D$9)-IF(AND(D69&gt;0,Debts!$E$9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E70" s="22" t="n">
        <f aca="false">IF(E69&lt;=0,0,MAX(0,E69*(1+Debts!$C$10/12)-MIN(E69*(1+Debts!$C$10/12),Debts!$D$10)-IF(AND(E69&gt;0,Debts!$E$10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F70" s="22" t="n">
        <f aca="false">IF(F69&lt;=0,0,MAX(0,F69*(1+Debts!$C$11/12)-MIN(F69*(1+Debts!$C$11/12),Debts!$D$11)-IF(AND(F69&gt;0,Debts!$E$11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G70" s="22" t="n">
        <f aca="false">IF(G69&lt;=0,0,MAX(0,G69*(1+Debts!$C$12/12)-MIN(G69*(1+Debts!$C$12/12),Debts!$D$12)-IF(AND(G69&gt;0,Debts!$E$12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H70" s="22" t="n">
        <f aca="false">IF(H69&lt;=0,0,MAX(0,H69*(1+Debts!$C$13/12)-MIN(H69*(1+Debts!$C$13/12),Debts!$D$13)-IF(AND(H69&gt;0,Debts!$E$13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I70" s="22" t="n">
        <f aca="false">IF(I69&lt;=0,0,MAX(0,I69*(1+Debts!$C$14/12)-MIN(I69*(1+Debts!$C$14/12),Debts!$D$14)-IF(AND(I69&gt;0,Debts!$E$14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J70" s="22" t="n">
        <f aca="false">IF(J69&lt;=0,0,MAX(0,J69*(1+Debts!$C$15/12)-MIN(J69*(1+Debts!$C$15/12),Debts!$D$15)-IF(AND(J69&gt;0,Debts!$E$15=MIN(IF(C69&gt;0,Debts!$E$8,999),IF(D69&gt;0,Debts!$E$9,999),IF(E69&gt;0,Debts!$E$10,999),IF(F69&gt;0,Debts!$E$11,999),IF(G69&gt;0,Debts!$E$12,999),IF(H69&gt;0,Debts!$E$13,999),IF(I69&gt;0,Debts!$E$14,999),IF(J69&gt;0,Debts!$E$15,999))),MAX(0,(B70-(MIN(C69+0,C69*(1+Debts!$C$8/12))*0+MIN(C69*(1+Debts!$C$8/12),Debts!$D$8)+MIN(C69+0,D69*(1+Debts!$C$9/12))*0+MIN(D69*(1+Debts!$C$9/12),Debts!$D$9)+MIN(C69+0,E69*(1+Debts!$C$10/12))*0+MIN(E69*(1+Debts!$C$10/12),Debts!$D$10)+MIN(C69+0,F69*(1+Debts!$C$11/12))*0+MIN(F69*(1+Debts!$C$11/12),Debts!$D$11)+MIN(C69+0,G69*(1+Debts!$C$12/12))*0+MIN(G69*(1+Debts!$C$12/12),Debts!$D$12)+MIN(C69+0,H69*(1+Debts!$C$13/12))*0+MIN(H69*(1+Debts!$C$13/12),Debts!$D$13)+MIN(C69+0,I69*(1+Debts!$C$14/12))*0+MIN(I69*(1+Debts!$C$14/12),Debts!$D$14)+MIN(C69+0,J69*(1+Debts!$C$15/12))*0+MIN(J69*(1+Debts!$C$15/12),Debts!$D$15)))),0)))</f>
        <v>0</v>
      </c>
      <c r="K70" s="22" t="n">
        <f aca="false">IF(C69&gt;0,C69*Debts!$C$8/12,0)+IF(D69&gt;0,D69*Debts!$C$9/12,0)+IF(E69&gt;0,E69*Debts!$C$10/12,0)+IF(F69&gt;0,F69*Debts!$C$11/12,0)+IF(G69&gt;0,G69*Debts!$C$12/12,0)+IF(H69&gt;0,H69*Debts!$C$13/12,0)+IF(I69&gt;0,I69*Debts!$C$14/12,0)+IF(J69&gt;0,J69*Debts!$C$15/12,0)</f>
        <v>0</v>
      </c>
      <c r="L70" s="22" t="n">
        <f aca="false">SUM(C70:J70)</f>
        <v>0</v>
      </c>
    </row>
    <row r="71" customFormat="false" ht="15" hidden="false" customHeight="false" outlineLevel="0" collapsed="false">
      <c r="A71" s="19" t="n">
        <f aca="false">64</f>
        <v>64</v>
      </c>
      <c r="B71" s="27" t="n">
        <f aca="false">IF(L70&lt;=0,0,Debts!$D$16+Debts!$B$4)</f>
        <v>0</v>
      </c>
      <c r="C71" s="22" t="n">
        <f aca="false">IF(C70&lt;=0,0,MAX(0,C70*(1+Debts!$C$8/12)-MIN(C70*(1+Debts!$C$8/12),Debts!$D$8)-IF(AND(C70&gt;0,Debts!$E$8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D71" s="22" t="n">
        <f aca="false">IF(D70&lt;=0,0,MAX(0,D70*(1+Debts!$C$9/12)-MIN(D70*(1+Debts!$C$9/12),Debts!$D$9)-IF(AND(D70&gt;0,Debts!$E$9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E71" s="22" t="n">
        <f aca="false">IF(E70&lt;=0,0,MAX(0,E70*(1+Debts!$C$10/12)-MIN(E70*(1+Debts!$C$10/12),Debts!$D$10)-IF(AND(E70&gt;0,Debts!$E$10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F71" s="22" t="n">
        <f aca="false">IF(F70&lt;=0,0,MAX(0,F70*(1+Debts!$C$11/12)-MIN(F70*(1+Debts!$C$11/12),Debts!$D$11)-IF(AND(F70&gt;0,Debts!$E$11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G71" s="22" t="n">
        <f aca="false">IF(G70&lt;=0,0,MAX(0,G70*(1+Debts!$C$12/12)-MIN(G70*(1+Debts!$C$12/12),Debts!$D$12)-IF(AND(G70&gt;0,Debts!$E$12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H71" s="22" t="n">
        <f aca="false">IF(H70&lt;=0,0,MAX(0,H70*(1+Debts!$C$13/12)-MIN(H70*(1+Debts!$C$13/12),Debts!$D$13)-IF(AND(H70&gt;0,Debts!$E$13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I71" s="22" t="n">
        <f aca="false">IF(I70&lt;=0,0,MAX(0,I70*(1+Debts!$C$14/12)-MIN(I70*(1+Debts!$C$14/12),Debts!$D$14)-IF(AND(I70&gt;0,Debts!$E$14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J71" s="22" t="n">
        <f aca="false">IF(J70&lt;=0,0,MAX(0,J70*(1+Debts!$C$15/12)-MIN(J70*(1+Debts!$C$15/12),Debts!$D$15)-IF(AND(J70&gt;0,Debts!$E$15=MIN(IF(C70&gt;0,Debts!$E$8,999),IF(D70&gt;0,Debts!$E$9,999),IF(E70&gt;0,Debts!$E$10,999),IF(F70&gt;0,Debts!$E$11,999),IF(G70&gt;0,Debts!$E$12,999),IF(H70&gt;0,Debts!$E$13,999),IF(I70&gt;0,Debts!$E$14,999),IF(J70&gt;0,Debts!$E$15,999))),MAX(0,(B71-(MIN(C70+0,C70*(1+Debts!$C$8/12))*0+MIN(C70*(1+Debts!$C$8/12),Debts!$D$8)+MIN(C70+0,D70*(1+Debts!$C$9/12))*0+MIN(D70*(1+Debts!$C$9/12),Debts!$D$9)+MIN(C70+0,E70*(1+Debts!$C$10/12))*0+MIN(E70*(1+Debts!$C$10/12),Debts!$D$10)+MIN(C70+0,F70*(1+Debts!$C$11/12))*0+MIN(F70*(1+Debts!$C$11/12),Debts!$D$11)+MIN(C70+0,G70*(1+Debts!$C$12/12))*0+MIN(G70*(1+Debts!$C$12/12),Debts!$D$12)+MIN(C70+0,H70*(1+Debts!$C$13/12))*0+MIN(H70*(1+Debts!$C$13/12),Debts!$D$13)+MIN(C70+0,I70*(1+Debts!$C$14/12))*0+MIN(I70*(1+Debts!$C$14/12),Debts!$D$14)+MIN(C70+0,J70*(1+Debts!$C$15/12))*0+MIN(J70*(1+Debts!$C$15/12),Debts!$D$15)))),0)))</f>
        <v>0</v>
      </c>
      <c r="K71" s="22" t="n">
        <f aca="false">IF(C70&gt;0,C70*Debts!$C$8/12,0)+IF(D70&gt;0,D70*Debts!$C$9/12,0)+IF(E70&gt;0,E70*Debts!$C$10/12,0)+IF(F70&gt;0,F70*Debts!$C$11/12,0)+IF(G70&gt;0,G70*Debts!$C$12/12,0)+IF(H70&gt;0,H70*Debts!$C$13/12,0)+IF(I70&gt;0,I70*Debts!$C$14/12,0)+IF(J70&gt;0,J70*Debts!$C$15/12,0)</f>
        <v>0</v>
      </c>
      <c r="L71" s="22" t="n">
        <f aca="false">SUM(C71:J71)</f>
        <v>0</v>
      </c>
    </row>
    <row r="72" customFormat="false" ht="15" hidden="false" customHeight="false" outlineLevel="0" collapsed="false">
      <c r="A72" s="19" t="n">
        <f aca="false">65</f>
        <v>65</v>
      </c>
      <c r="B72" s="27" t="n">
        <f aca="false">IF(L71&lt;=0,0,Debts!$D$16+Debts!$B$4)</f>
        <v>0</v>
      </c>
      <c r="C72" s="22" t="n">
        <f aca="false">IF(C71&lt;=0,0,MAX(0,C71*(1+Debts!$C$8/12)-MIN(C71*(1+Debts!$C$8/12),Debts!$D$8)-IF(AND(C71&gt;0,Debts!$E$8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D72" s="22" t="n">
        <f aca="false">IF(D71&lt;=0,0,MAX(0,D71*(1+Debts!$C$9/12)-MIN(D71*(1+Debts!$C$9/12),Debts!$D$9)-IF(AND(D71&gt;0,Debts!$E$9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E72" s="22" t="n">
        <f aca="false">IF(E71&lt;=0,0,MAX(0,E71*(1+Debts!$C$10/12)-MIN(E71*(1+Debts!$C$10/12),Debts!$D$10)-IF(AND(E71&gt;0,Debts!$E$10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F72" s="22" t="n">
        <f aca="false">IF(F71&lt;=0,0,MAX(0,F71*(1+Debts!$C$11/12)-MIN(F71*(1+Debts!$C$11/12),Debts!$D$11)-IF(AND(F71&gt;0,Debts!$E$11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G72" s="22" t="n">
        <f aca="false">IF(G71&lt;=0,0,MAX(0,G71*(1+Debts!$C$12/12)-MIN(G71*(1+Debts!$C$12/12),Debts!$D$12)-IF(AND(G71&gt;0,Debts!$E$12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H72" s="22" t="n">
        <f aca="false">IF(H71&lt;=0,0,MAX(0,H71*(1+Debts!$C$13/12)-MIN(H71*(1+Debts!$C$13/12),Debts!$D$13)-IF(AND(H71&gt;0,Debts!$E$13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I72" s="22" t="n">
        <f aca="false">IF(I71&lt;=0,0,MAX(0,I71*(1+Debts!$C$14/12)-MIN(I71*(1+Debts!$C$14/12),Debts!$D$14)-IF(AND(I71&gt;0,Debts!$E$14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J72" s="22" t="n">
        <f aca="false">IF(J71&lt;=0,0,MAX(0,J71*(1+Debts!$C$15/12)-MIN(J71*(1+Debts!$C$15/12),Debts!$D$15)-IF(AND(J71&gt;0,Debts!$E$15=MIN(IF(C71&gt;0,Debts!$E$8,999),IF(D71&gt;0,Debts!$E$9,999),IF(E71&gt;0,Debts!$E$10,999),IF(F71&gt;0,Debts!$E$11,999),IF(G71&gt;0,Debts!$E$12,999),IF(H71&gt;0,Debts!$E$13,999),IF(I71&gt;0,Debts!$E$14,999),IF(J71&gt;0,Debts!$E$15,999))),MAX(0,(B72-(MIN(C71+0,C71*(1+Debts!$C$8/12))*0+MIN(C71*(1+Debts!$C$8/12),Debts!$D$8)+MIN(C71+0,D71*(1+Debts!$C$9/12))*0+MIN(D71*(1+Debts!$C$9/12),Debts!$D$9)+MIN(C71+0,E71*(1+Debts!$C$10/12))*0+MIN(E71*(1+Debts!$C$10/12),Debts!$D$10)+MIN(C71+0,F71*(1+Debts!$C$11/12))*0+MIN(F71*(1+Debts!$C$11/12),Debts!$D$11)+MIN(C71+0,G71*(1+Debts!$C$12/12))*0+MIN(G71*(1+Debts!$C$12/12),Debts!$D$12)+MIN(C71+0,H71*(1+Debts!$C$13/12))*0+MIN(H71*(1+Debts!$C$13/12),Debts!$D$13)+MIN(C71+0,I71*(1+Debts!$C$14/12))*0+MIN(I71*(1+Debts!$C$14/12),Debts!$D$14)+MIN(C71+0,J71*(1+Debts!$C$15/12))*0+MIN(J71*(1+Debts!$C$15/12),Debts!$D$15)))),0)))</f>
        <v>0</v>
      </c>
      <c r="K72" s="22" t="n">
        <f aca="false">IF(C71&gt;0,C71*Debts!$C$8/12,0)+IF(D71&gt;0,D71*Debts!$C$9/12,0)+IF(E71&gt;0,E71*Debts!$C$10/12,0)+IF(F71&gt;0,F71*Debts!$C$11/12,0)+IF(G71&gt;0,G71*Debts!$C$12/12,0)+IF(H71&gt;0,H71*Debts!$C$13/12,0)+IF(I71&gt;0,I71*Debts!$C$14/12,0)+IF(J71&gt;0,J71*Debts!$C$15/12,0)</f>
        <v>0</v>
      </c>
      <c r="L72" s="22" t="n">
        <f aca="false">SUM(C72:J72)</f>
        <v>0</v>
      </c>
    </row>
    <row r="73" customFormat="false" ht="15" hidden="false" customHeight="false" outlineLevel="0" collapsed="false">
      <c r="A73" s="19" t="n">
        <f aca="false">66</f>
        <v>66</v>
      </c>
      <c r="B73" s="27" t="n">
        <f aca="false">IF(L72&lt;=0,0,Debts!$D$16+Debts!$B$4)</f>
        <v>0</v>
      </c>
      <c r="C73" s="22" t="n">
        <f aca="false">IF(C72&lt;=0,0,MAX(0,C72*(1+Debts!$C$8/12)-MIN(C72*(1+Debts!$C$8/12),Debts!$D$8)-IF(AND(C72&gt;0,Debts!$E$8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D73" s="22" t="n">
        <f aca="false">IF(D72&lt;=0,0,MAX(0,D72*(1+Debts!$C$9/12)-MIN(D72*(1+Debts!$C$9/12),Debts!$D$9)-IF(AND(D72&gt;0,Debts!$E$9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E73" s="22" t="n">
        <f aca="false">IF(E72&lt;=0,0,MAX(0,E72*(1+Debts!$C$10/12)-MIN(E72*(1+Debts!$C$10/12),Debts!$D$10)-IF(AND(E72&gt;0,Debts!$E$10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F73" s="22" t="n">
        <f aca="false">IF(F72&lt;=0,0,MAX(0,F72*(1+Debts!$C$11/12)-MIN(F72*(1+Debts!$C$11/12),Debts!$D$11)-IF(AND(F72&gt;0,Debts!$E$11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G73" s="22" t="n">
        <f aca="false">IF(G72&lt;=0,0,MAX(0,G72*(1+Debts!$C$12/12)-MIN(G72*(1+Debts!$C$12/12),Debts!$D$12)-IF(AND(G72&gt;0,Debts!$E$12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H73" s="22" t="n">
        <f aca="false">IF(H72&lt;=0,0,MAX(0,H72*(1+Debts!$C$13/12)-MIN(H72*(1+Debts!$C$13/12),Debts!$D$13)-IF(AND(H72&gt;0,Debts!$E$13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I73" s="22" t="n">
        <f aca="false">IF(I72&lt;=0,0,MAX(0,I72*(1+Debts!$C$14/12)-MIN(I72*(1+Debts!$C$14/12),Debts!$D$14)-IF(AND(I72&gt;0,Debts!$E$14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J73" s="22" t="n">
        <f aca="false">IF(J72&lt;=0,0,MAX(0,J72*(1+Debts!$C$15/12)-MIN(J72*(1+Debts!$C$15/12),Debts!$D$15)-IF(AND(J72&gt;0,Debts!$E$15=MIN(IF(C72&gt;0,Debts!$E$8,999),IF(D72&gt;0,Debts!$E$9,999),IF(E72&gt;0,Debts!$E$10,999),IF(F72&gt;0,Debts!$E$11,999),IF(G72&gt;0,Debts!$E$12,999),IF(H72&gt;0,Debts!$E$13,999),IF(I72&gt;0,Debts!$E$14,999),IF(J72&gt;0,Debts!$E$15,999))),MAX(0,(B73-(MIN(C72+0,C72*(1+Debts!$C$8/12))*0+MIN(C72*(1+Debts!$C$8/12),Debts!$D$8)+MIN(C72+0,D72*(1+Debts!$C$9/12))*0+MIN(D72*(1+Debts!$C$9/12),Debts!$D$9)+MIN(C72+0,E72*(1+Debts!$C$10/12))*0+MIN(E72*(1+Debts!$C$10/12),Debts!$D$10)+MIN(C72+0,F72*(1+Debts!$C$11/12))*0+MIN(F72*(1+Debts!$C$11/12),Debts!$D$11)+MIN(C72+0,G72*(1+Debts!$C$12/12))*0+MIN(G72*(1+Debts!$C$12/12),Debts!$D$12)+MIN(C72+0,H72*(1+Debts!$C$13/12))*0+MIN(H72*(1+Debts!$C$13/12),Debts!$D$13)+MIN(C72+0,I72*(1+Debts!$C$14/12))*0+MIN(I72*(1+Debts!$C$14/12),Debts!$D$14)+MIN(C72+0,J72*(1+Debts!$C$15/12))*0+MIN(J72*(1+Debts!$C$15/12),Debts!$D$15)))),0)))</f>
        <v>0</v>
      </c>
      <c r="K73" s="22" t="n">
        <f aca="false">IF(C72&gt;0,C72*Debts!$C$8/12,0)+IF(D72&gt;0,D72*Debts!$C$9/12,0)+IF(E72&gt;0,E72*Debts!$C$10/12,0)+IF(F72&gt;0,F72*Debts!$C$11/12,0)+IF(G72&gt;0,G72*Debts!$C$12/12,0)+IF(H72&gt;0,H72*Debts!$C$13/12,0)+IF(I72&gt;0,I72*Debts!$C$14/12,0)+IF(J72&gt;0,J72*Debts!$C$15/12,0)</f>
        <v>0</v>
      </c>
      <c r="L73" s="22" t="n">
        <f aca="false">SUM(C73:J73)</f>
        <v>0</v>
      </c>
    </row>
    <row r="74" customFormat="false" ht="15" hidden="false" customHeight="false" outlineLevel="0" collapsed="false">
      <c r="A74" s="19" t="n">
        <f aca="false">67</f>
        <v>67</v>
      </c>
      <c r="B74" s="27" t="n">
        <f aca="false">IF(L73&lt;=0,0,Debts!$D$16+Debts!$B$4)</f>
        <v>0</v>
      </c>
      <c r="C74" s="22" t="n">
        <f aca="false">IF(C73&lt;=0,0,MAX(0,C73*(1+Debts!$C$8/12)-MIN(C73*(1+Debts!$C$8/12),Debts!$D$8)-IF(AND(C73&gt;0,Debts!$E$8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D74" s="22" t="n">
        <f aca="false">IF(D73&lt;=0,0,MAX(0,D73*(1+Debts!$C$9/12)-MIN(D73*(1+Debts!$C$9/12),Debts!$D$9)-IF(AND(D73&gt;0,Debts!$E$9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E74" s="22" t="n">
        <f aca="false">IF(E73&lt;=0,0,MAX(0,E73*(1+Debts!$C$10/12)-MIN(E73*(1+Debts!$C$10/12),Debts!$D$10)-IF(AND(E73&gt;0,Debts!$E$10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F74" s="22" t="n">
        <f aca="false">IF(F73&lt;=0,0,MAX(0,F73*(1+Debts!$C$11/12)-MIN(F73*(1+Debts!$C$11/12),Debts!$D$11)-IF(AND(F73&gt;0,Debts!$E$11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G74" s="22" t="n">
        <f aca="false">IF(G73&lt;=0,0,MAX(0,G73*(1+Debts!$C$12/12)-MIN(G73*(1+Debts!$C$12/12),Debts!$D$12)-IF(AND(G73&gt;0,Debts!$E$12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H74" s="22" t="n">
        <f aca="false">IF(H73&lt;=0,0,MAX(0,H73*(1+Debts!$C$13/12)-MIN(H73*(1+Debts!$C$13/12),Debts!$D$13)-IF(AND(H73&gt;0,Debts!$E$13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I74" s="22" t="n">
        <f aca="false">IF(I73&lt;=0,0,MAX(0,I73*(1+Debts!$C$14/12)-MIN(I73*(1+Debts!$C$14/12),Debts!$D$14)-IF(AND(I73&gt;0,Debts!$E$14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J74" s="22" t="n">
        <f aca="false">IF(J73&lt;=0,0,MAX(0,J73*(1+Debts!$C$15/12)-MIN(J73*(1+Debts!$C$15/12),Debts!$D$15)-IF(AND(J73&gt;0,Debts!$E$15=MIN(IF(C73&gt;0,Debts!$E$8,999),IF(D73&gt;0,Debts!$E$9,999),IF(E73&gt;0,Debts!$E$10,999),IF(F73&gt;0,Debts!$E$11,999),IF(G73&gt;0,Debts!$E$12,999),IF(H73&gt;0,Debts!$E$13,999),IF(I73&gt;0,Debts!$E$14,999),IF(J73&gt;0,Debts!$E$15,999))),MAX(0,(B74-(MIN(C73+0,C73*(1+Debts!$C$8/12))*0+MIN(C73*(1+Debts!$C$8/12),Debts!$D$8)+MIN(C73+0,D73*(1+Debts!$C$9/12))*0+MIN(D73*(1+Debts!$C$9/12),Debts!$D$9)+MIN(C73+0,E73*(1+Debts!$C$10/12))*0+MIN(E73*(1+Debts!$C$10/12),Debts!$D$10)+MIN(C73+0,F73*(1+Debts!$C$11/12))*0+MIN(F73*(1+Debts!$C$11/12),Debts!$D$11)+MIN(C73+0,G73*(1+Debts!$C$12/12))*0+MIN(G73*(1+Debts!$C$12/12),Debts!$D$12)+MIN(C73+0,H73*(1+Debts!$C$13/12))*0+MIN(H73*(1+Debts!$C$13/12),Debts!$D$13)+MIN(C73+0,I73*(1+Debts!$C$14/12))*0+MIN(I73*(1+Debts!$C$14/12),Debts!$D$14)+MIN(C73+0,J73*(1+Debts!$C$15/12))*0+MIN(J73*(1+Debts!$C$15/12),Debts!$D$15)))),0)))</f>
        <v>0</v>
      </c>
      <c r="K74" s="22" t="n">
        <f aca="false">IF(C73&gt;0,C73*Debts!$C$8/12,0)+IF(D73&gt;0,D73*Debts!$C$9/12,0)+IF(E73&gt;0,E73*Debts!$C$10/12,0)+IF(F73&gt;0,F73*Debts!$C$11/12,0)+IF(G73&gt;0,G73*Debts!$C$12/12,0)+IF(H73&gt;0,H73*Debts!$C$13/12,0)+IF(I73&gt;0,I73*Debts!$C$14/12,0)+IF(J73&gt;0,J73*Debts!$C$15/12,0)</f>
        <v>0</v>
      </c>
      <c r="L74" s="22" t="n">
        <f aca="false">SUM(C74:J74)</f>
        <v>0</v>
      </c>
    </row>
    <row r="75" customFormat="false" ht="15" hidden="false" customHeight="false" outlineLevel="0" collapsed="false">
      <c r="A75" s="19" t="n">
        <f aca="false">68</f>
        <v>68</v>
      </c>
      <c r="B75" s="27" t="n">
        <f aca="false">IF(L74&lt;=0,0,Debts!$D$16+Debts!$B$4)</f>
        <v>0</v>
      </c>
      <c r="C75" s="22" t="n">
        <f aca="false">IF(C74&lt;=0,0,MAX(0,C74*(1+Debts!$C$8/12)-MIN(C74*(1+Debts!$C$8/12),Debts!$D$8)-IF(AND(C74&gt;0,Debts!$E$8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D75" s="22" t="n">
        <f aca="false">IF(D74&lt;=0,0,MAX(0,D74*(1+Debts!$C$9/12)-MIN(D74*(1+Debts!$C$9/12),Debts!$D$9)-IF(AND(D74&gt;0,Debts!$E$9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E75" s="22" t="n">
        <f aca="false">IF(E74&lt;=0,0,MAX(0,E74*(1+Debts!$C$10/12)-MIN(E74*(1+Debts!$C$10/12),Debts!$D$10)-IF(AND(E74&gt;0,Debts!$E$10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F75" s="22" t="n">
        <f aca="false">IF(F74&lt;=0,0,MAX(0,F74*(1+Debts!$C$11/12)-MIN(F74*(1+Debts!$C$11/12),Debts!$D$11)-IF(AND(F74&gt;0,Debts!$E$11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G75" s="22" t="n">
        <f aca="false">IF(G74&lt;=0,0,MAX(0,G74*(1+Debts!$C$12/12)-MIN(G74*(1+Debts!$C$12/12),Debts!$D$12)-IF(AND(G74&gt;0,Debts!$E$12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H75" s="22" t="n">
        <f aca="false">IF(H74&lt;=0,0,MAX(0,H74*(1+Debts!$C$13/12)-MIN(H74*(1+Debts!$C$13/12),Debts!$D$13)-IF(AND(H74&gt;0,Debts!$E$13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I75" s="22" t="n">
        <f aca="false">IF(I74&lt;=0,0,MAX(0,I74*(1+Debts!$C$14/12)-MIN(I74*(1+Debts!$C$14/12),Debts!$D$14)-IF(AND(I74&gt;0,Debts!$E$14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J75" s="22" t="n">
        <f aca="false">IF(J74&lt;=0,0,MAX(0,J74*(1+Debts!$C$15/12)-MIN(J74*(1+Debts!$C$15/12),Debts!$D$15)-IF(AND(J74&gt;0,Debts!$E$15=MIN(IF(C74&gt;0,Debts!$E$8,999),IF(D74&gt;0,Debts!$E$9,999),IF(E74&gt;0,Debts!$E$10,999),IF(F74&gt;0,Debts!$E$11,999),IF(G74&gt;0,Debts!$E$12,999),IF(H74&gt;0,Debts!$E$13,999),IF(I74&gt;0,Debts!$E$14,999),IF(J74&gt;0,Debts!$E$15,999))),MAX(0,(B75-(MIN(C74+0,C74*(1+Debts!$C$8/12))*0+MIN(C74*(1+Debts!$C$8/12),Debts!$D$8)+MIN(C74+0,D74*(1+Debts!$C$9/12))*0+MIN(D74*(1+Debts!$C$9/12),Debts!$D$9)+MIN(C74+0,E74*(1+Debts!$C$10/12))*0+MIN(E74*(1+Debts!$C$10/12),Debts!$D$10)+MIN(C74+0,F74*(1+Debts!$C$11/12))*0+MIN(F74*(1+Debts!$C$11/12),Debts!$D$11)+MIN(C74+0,G74*(1+Debts!$C$12/12))*0+MIN(G74*(1+Debts!$C$12/12),Debts!$D$12)+MIN(C74+0,H74*(1+Debts!$C$13/12))*0+MIN(H74*(1+Debts!$C$13/12),Debts!$D$13)+MIN(C74+0,I74*(1+Debts!$C$14/12))*0+MIN(I74*(1+Debts!$C$14/12),Debts!$D$14)+MIN(C74+0,J74*(1+Debts!$C$15/12))*0+MIN(J74*(1+Debts!$C$15/12),Debts!$D$15)))),0)))</f>
        <v>0</v>
      </c>
      <c r="K75" s="22" t="n">
        <f aca="false">IF(C74&gt;0,C74*Debts!$C$8/12,0)+IF(D74&gt;0,D74*Debts!$C$9/12,0)+IF(E74&gt;0,E74*Debts!$C$10/12,0)+IF(F74&gt;0,F74*Debts!$C$11/12,0)+IF(G74&gt;0,G74*Debts!$C$12/12,0)+IF(H74&gt;0,H74*Debts!$C$13/12,0)+IF(I74&gt;0,I74*Debts!$C$14/12,0)+IF(J74&gt;0,J74*Debts!$C$15/12,0)</f>
        <v>0</v>
      </c>
      <c r="L75" s="22" t="n">
        <f aca="false">SUM(C75:J75)</f>
        <v>0</v>
      </c>
    </row>
    <row r="76" customFormat="false" ht="15" hidden="false" customHeight="false" outlineLevel="0" collapsed="false">
      <c r="A76" s="19" t="n">
        <f aca="false">69</f>
        <v>69</v>
      </c>
      <c r="B76" s="27" t="n">
        <f aca="false">IF(L75&lt;=0,0,Debts!$D$16+Debts!$B$4)</f>
        <v>0</v>
      </c>
      <c r="C76" s="22" t="n">
        <f aca="false">IF(C75&lt;=0,0,MAX(0,C75*(1+Debts!$C$8/12)-MIN(C75*(1+Debts!$C$8/12),Debts!$D$8)-IF(AND(C75&gt;0,Debts!$E$8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D76" s="22" t="n">
        <f aca="false">IF(D75&lt;=0,0,MAX(0,D75*(1+Debts!$C$9/12)-MIN(D75*(1+Debts!$C$9/12),Debts!$D$9)-IF(AND(D75&gt;0,Debts!$E$9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E76" s="22" t="n">
        <f aca="false">IF(E75&lt;=0,0,MAX(0,E75*(1+Debts!$C$10/12)-MIN(E75*(1+Debts!$C$10/12),Debts!$D$10)-IF(AND(E75&gt;0,Debts!$E$10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F76" s="22" t="n">
        <f aca="false">IF(F75&lt;=0,0,MAX(0,F75*(1+Debts!$C$11/12)-MIN(F75*(1+Debts!$C$11/12),Debts!$D$11)-IF(AND(F75&gt;0,Debts!$E$11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G76" s="22" t="n">
        <f aca="false">IF(G75&lt;=0,0,MAX(0,G75*(1+Debts!$C$12/12)-MIN(G75*(1+Debts!$C$12/12),Debts!$D$12)-IF(AND(G75&gt;0,Debts!$E$12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H76" s="22" t="n">
        <f aca="false">IF(H75&lt;=0,0,MAX(0,H75*(1+Debts!$C$13/12)-MIN(H75*(1+Debts!$C$13/12),Debts!$D$13)-IF(AND(H75&gt;0,Debts!$E$13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I76" s="22" t="n">
        <f aca="false">IF(I75&lt;=0,0,MAX(0,I75*(1+Debts!$C$14/12)-MIN(I75*(1+Debts!$C$14/12),Debts!$D$14)-IF(AND(I75&gt;0,Debts!$E$14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J76" s="22" t="n">
        <f aca="false">IF(J75&lt;=0,0,MAX(0,J75*(1+Debts!$C$15/12)-MIN(J75*(1+Debts!$C$15/12),Debts!$D$15)-IF(AND(J75&gt;0,Debts!$E$15=MIN(IF(C75&gt;0,Debts!$E$8,999),IF(D75&gt;0,Debts!$E$9,999),IF(E75&gt;0,Debts!$E$10,999),IF(F75&gt;0,Debts!$E$11,999),IF(G75&gt;0,Debts!$E$12,999),IF(H75&gt;0,Debts!$E$13,999),IF(I75&gt;0,Debts!$E$14,999),IF(J75&gt;0,Debts!$E$15,999))),MAX(0,(B76-(MIN(C75+0,C75*(1+Debts!$C$8/12))*0+MIN(C75*(1+Debts!$C$8/12),Debts!$D$8)+MIN(C75+0,D75*(1+Debts!$C$9/12))*0+MIN(D75*(1+Debts!$C$9/12),Debts!$D$9)+MIN(C75+0,E75*(1+Debts!$C$10/12))*0+MIN(E75*(1+Debts!$C$10/12),Debts!$D$10)+MIN(C75+0,F75*(1+Debts!$C$11/12))*0+MIN(F75*(1+Debts!$C$11/12),Debts!$D$11)+MIN(C75+0,G75*(1+Debts!$C$12/12))*0+MIN(G75*(1+Debts!$C$12/12),Debts!$D$12)+MIN(C75+0,H75*(1+Debts!$C$13/12))*0+MIN(H75*(1+Debts!$C$13/12),Debts!$D$13)+MIN(C75+0,I75*(1+Debts!$C$14/12))*0+MIN(I75*(1+Debts!$C$14/12),Debts!$D$14)+MIN(C75+0,J75*(1+Debts!$C$15/12))*0+MIN(J75*(1+Debts!$C$15/12),Debts!$D$15)))),0)))</f>
        <v>0</v>
      </c>
      <c r="K76" s="22" t="n">
        <f aca="false">IF(C75&gt;0,C75*Debts!$C$8/12,0)+IF(D75&gt;0,D75*Debts!$C$9/12,0)+IF(E75&gt;0,E75*Debts!$C$10/12,0)+IF(F75&gt;0,F75*Debts!$C$11/12,0)+IF(G75&gt;0,G75*Debts!$C$12/12,0)+IF(H75&gt;0,H75*Debts!$C$13/12,0)+IF(I75&gt;0,I75*Debts!$C$14/12,0)+IF(J75&gt;0,J75*Debts!$C$15/12,0)</f>
        <v>0</v>
      </c>
      <c r="L76" s="22" t="n">
        <f aca="false">SUM(C76:J76)</f>
        <v>0</v>
      </c>
    </row>
    <row r="77" customFormat="false" ht="15" hidden="false" customHeight="false" outlineLevel="0" collapsed="false">
      <c r="A77" s="19" t="n">
        <f aca="false">70</f>
        <v>70</v>
      </c>
      <c r="B77" s="27" t="n">
        <f aca="false">IF(L76&lt;=0,0,Debts!$D$16+Debts!$B$4)</f>
        <v>0</v>
      </c>
      <c r="C77" s="22" t="n">
        <f aca="false">IF(C76&lt;=0,0,MAX(0,C76*(1+Debts!$C$8/12)-MIN(C76*(1+Debts!$C$8/12),Debts!$D$8)-IF(AND(C76&gt;0,Debts!$E$8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D77" s="22" t="n">
        <f aca="false">IF(D76&lt;=0,0,MAX(0,D76*(1+Debts!$C$9/12)-MIN(D76*(1+Debts!$C$9/12),Debts!$D$9)-IF(AND(D76&gt;0,Debts!$E$9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E77" s="22" t="n">
        <f aca="false">IF(E76&lt;=0,0,MAX(0,E76*(1+Debts!$C$10/12)-MIN(E76*(1+Debts!$C$10/12),Debts!$D$10)-IF(AND(E76&gt;0,Debts!$E$10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F77" s="22" t="n">
        <f aca="false">IF(F76&lt;=0,0,MAX(0,F76*(1+Debts!$C$11/12)-MIN(F76*(1+Debts!$C$11/12),Debts!$D$11)-IF(AND(F76&gt;0,Debts!$E$11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G77" s="22" t="n">
        <f aca="false">IF(G76&lt;=0,0,MAX(0,G76*(1+Debts!$C$12/12)-MIN(G76*(1+Debts!$C$12/12),Debts!$D$12)-IF(AND(G76&gt;0,Debts!$E$12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H77" s="22" t="n">
        <f aca="false">IF(H76&lt;=0,0,MAX(0,H76*(1+Debts!$C$13/12)-MIN(H76*(1+Debts!$C$13/12),Debts!$D$13)-IF(AND(H76&gt;0,Debts!$E$13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I77" s="22" t="n">
        <f aca="false">IF(I76&lt;=0,0,MAX(0,I76*(1+Debts!$C$14/12)-MIN(I76*(1+Debts!$C$14/12),Debts!$D$14)-IF(AND(I76&gt;0,Debts!$E$14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J77" s="22" t="n">
        <f aca="false">IF(J76&lt;=0,0,MAX(0,J76*(1+Debts!$C$15/12)-MIN(J76*(1+Debts!$C$15/12),Debts!$D$15)-IF(AND(J76&gt;0,Debts!$E$15=MIN(IF(C76&gt;0,Debts!$E$8,999),IF(D76&gt;0,Debts!$E$9,999),IF(E76&gt;0,Debts!$E$10,999),IF(F76&gt;0,Debts!$E$11,999),IF(G76&gt;0,Debts!$E$12,999),IF(H76&gt;0,Debts!$E$13,999),IF(I76&gt;0,Debts!$E$14,999),IF(J76&gt;0,Debts!$E$15,999))),MAX(0,(B77-(MIN(C76+0,C76*(1+Debts!$C$8/12))*0+MIN(C76*(1+Debts!$C$8/12),Debts!$D$8)+MIN(C76+0,D76*(1+Debts!$C$9/12))*0+MIN(D76*(1+Debts!$C$9/12),Debts!$D$9)+MIN(C76+0,E76*(1+Debts!$C$10/12))*0+MIN(E76*(1+Debts!$C$10/12),Debts!$D$10)+MIN(C76+0,F76*(1+Debts!$C$11/12))*0+MIN(F76*(1+Debts!$C$11/12),Debts!$D$11)+MIN(C76+0,G76*(1+Debts!$C$12/12))*0+MIN(G76*(1+Debts!$C$12/12),Debts!$D$12)+MIN(C76+0,H76*(1+Debts!$C$13/12))*0+MIN(H76*(1+Debts!$C$13/12),Debts!$D$13)+MIN(C76+0,I76*(1+Debts!$C$14/12))*0+MIN(I76*(1+Debts!$C$14/12),Debts!$D$14)+MIN(C76+0,J76*(1+Debts!$C$15/12))*0+MIN(J76*(1+Debts!$C$15/12),Debts!$D$15)))),0)))</f>
        <v>0</v>
      </c>
      <c r="K77" s="22" t="n">
        <f aca="false">IF(C76&gt;0,C76*Debts!$C$8/12,0)+IF(D76&gt;0,D76*Debts!$C$9/12,0)+IF(E76&gt;0,E76*Debts!$C$10/12,0)+IF(F76&gt;0,F76*Debts!$C$11/12,0)+IF(G76&gt;0,G76*Debts!$C$12/12,0)+IF(H76&gt;0,H76*Debts!$C$13/12,0)+IF(I76&gt;0,I76*Debts!$C$14/12,0)+IF(J76&gt;0,J76*Debts!$C$15/12,0)</f>
        <v>0</v>
      </c>
      <c r="L77" s="22" t="n">
        <f aca="false">SUM(C77:J77)</f>
        <v>0</v>
      </c>
    </row>
    <row r="78" customFormat="false" ht="15" hidden="false" customHeight="false" outlineLevel="0" collapsed="false">
      <c r="A78" s="19" t="n">
        <f aca="false">71</f>
        <v>71</v>
      </c>
      <c r="B78" s="27" t="n">
        <f aca="false">IF(L77&lt;=0,0,Debts!$D$16+Debts!$B$4)</f>
        <v>0</v>
      </c>
      <c r="C78" s="22" t="n">
        <f aca="false">IF(C77&lt;=0,0,MAX(0,C77*(1+Debts!$C$8/12)-MIN(C77*(1+Debts!$C$8/12),Debts!$D$8)-IF(AND(C77&gt;0,Debts!$E$8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D78" s="22" t="n">
        <f aca="false">IF(D77&lt;=0,0,MAX(0,D77*(1+Debts!$C$9/12)-MIN(D77*(1+Debts!$C$9/12),Debts!$D$9)-IF(AND(D77&gt;0,Debts!$E$9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E78" s="22" t="n">
        <f aca="false">IF(E77&lt;=0,0,MAX(0,E77*(1+Debts!$C$10/12)-MIN(E77*(1+Debts!$C$10/12),Debts!$D$10)-IF(AND(E77&gt;0,Debts!$E$10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F78" s="22" t="n">
        <f aca="false">IF(F77&lt;=0,0,MAX(0,F77*(1+Debts!$C$11/12)-MIN(F77*(1+Debts!$C$11/12),Debts!$D$11)-IF(AND(F77&gt;0,Debts!$E$11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G78" s="22" t="n">
        <f aca="false">IF(G77&lt;=0,0,MAX(0,G77*(1+Debts!$C$12/12)-MIN(G77*(1+Debts!$C$12/12),Debts!$D$12)-IF(AND(G77&gt;0,Debts!$E$12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H78" s="22" t="n">
        <f aca="false">IF(H77&lt;=0,0,MAX(0,H77*(1+Debts!$C$13/12)-MIN(H77*(1+Debts!$C$13/12),Debts!$D$13)-IF(AND(H77&gt;0,Debts!$E$13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I78" s="22" t="n">
        <f aca="false">IF(I77&lt;=0,0,MAX(0,I77*(1+Debts!$C$14/12)-MIN(I77*(1+Debts!$C$14/12),Debts!$D$14)-IF(AND(I77&gt;0,Debts!$E$14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J78" s="22" t="n">
        <f aca="false">IF(J77&lt;=0,0,MAX(0,J77*(1+Debts!$C$15/12)-MIN(J77*(1+Debts!$C$15/12),Debts!$D$15)-IF(AND(J77&gt;0,Debts!$E$15=MIN(IF(C77&gt;0,Debts!$E$8,999),IF(D77&gt;0,Debts!$E$9,999),IF(E77&gt;0,Debts!$E$10,999),IF(F77&gt;0,Debts!$E$11,999),IF(G77&gt;0,Debts!$E$12,999),IF(H77&gt;0,Debts!$E$13,999),IF(I77&gt;0,Debts!$E$14,999),IF(J77&gt;0,Debts!$E$15,999))),MAX(0,(B78-(MIN(C77+0,C77*(1+Debts!$C$8/12))*0+MIN(C77*(1+Debts!$C$8/12),Debts!$D$8)+MIN(C77+0,D77*(1+Debts!$C$9/12))*0+MIN(D77*(1+Debts!$C$9/12),Debts!$D$9)+MIN(C77+0,E77*(1+Debts!$C$10/12))*0+MIN(E77*(1+Debts!$C$10/12),Debts!$D$10)+MIN(C77+0,F77*(1+Debts!$C$11/12))*0+MIN(F77*(1+Debts!$C$11/12),Debts!$D$11)+MIN(C77+0,G77*(1+Debts!$C$12/12))*0+MIN(G77*(1+Debts!$C$12/12),Debts!$D$12)+MIN(C77+0,H77*(1+Debts!$C$13/12))*0+MIN(H77*(1+Debts!$C$13/12),Debts!$D$13)+MIN(C77+0,I77*(1+Debts!$C$14/12))*0+MIN(I77*(1+Debts!$C$14/12),Debts!$D$14)+MIN(C77+0,J77*(1+Debts!$C$15/12))*0+MIN(J77*(1+Debts!$C$15/12),Debts!$D$15)))),0)))</f>
        <v>0</v>
      </c>
      <c r="K78" s="22" t="n">
        <f aca="false">IF(C77&gt;0,C77*Debts!$C$8/12,0)+IF(D77&gt;0,D77*Debts!$C$9/12,0)+IF(E77&gt;0,E77*Debts!$C$10/12,0)+IF(F77&gt;0,F77*Debts!$C$11/12,0)+IF(G77&gt;0,G77*Debts!$C$12/12,0)+IF(H77&gt;0,H77*Debts!$C$13/12,0)+IF(I77&gt;0,I77*Debts!$C$14/12,0)+IF(J77&gt;0,J77*Debts!$C$15/12,0)</f>
        <v>0</v>
      </c>
      <c r="L78" s="22" t="n">
        <f aca="false">SUM(C78:J78)</f>
        <v>0</v>
      </c>
    </row>
    <row r="79" customFormat="false" ht="15" hidden="false" customHeight="false" outlineLevel="0" collapsed="false">
      <c r="A79" s="19" t="n">
        <f aca="false">72</f>
        <v>72</v>
      </c>
      <c r="B79" s="27" t="n">
        <f aca="false">IF(L78&lt;=0,0,Debts!$D$16+Debts!$B$4)</f>
        <v>0</v>
      </c>
      <c r="C79" s="22" t="n">
        <f aca="false">IF(C78&lt;=0,0,MAX(0,C78*(1+Debts!$C$8/12)-MIN(C78*(1+Debts!$C$8/12),Debts!$D$8)-IF(AND(C78&gt;0,Debts!$E$8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D79" s="22" t="n">
        <f aca="false">IF(D78&lt;=0,0,MAX(0,D78*(1+Debts!$C$9/12)-MIN(D78*(1+Debts!$C$9/12),Debts!$D$9)-IF(AND(D78&gt;0,Debts!$E$9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E79" s="22" t="n">
        <f aca="false">IF(E78&lt;=0,0,MAX(0,E78*(1+Debts!$C$10/12)-MIN(E78*(1+Debts!$C$10/12),Debts!$D$10)-IF(AND(E78&gt;0,Debts!$E$10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F79" s="22" t="n">
        <f aca="false">IF(F78&lt;=0,0,MAX(0,F78*(1+Debts!$C$11/12)-MIN(F78*(1+Debts!$C$11/12),Debts!$D$11)-IF(AND(F78&gt;0,Debts!$E$11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G79" s="22" t="n">
        <f aca="false">IF(G78&lt;=0,0,MAX(0,G78*(1+Debts!$C$12/12)-MIN(G78*(1+Debts!$C$12/12),Debts!$D$12)-IF(AND(G78&gt;0,Debts!$E$12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H79" s="22" t="n">
        <f aca="false">IF(H78&lt;=0,0,MAX(0,H78*(1+Debts!$C$13/12)-MIN(H78*(1+Debts!$C$13/12),Debts!$D$13)-IF(AND(H78&gt;0,Debts!$E$13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I79" s="22" t="n">
        <f aca="false">IF(I78&lt;=0,0,MAX(0,I78*(1+Debts!$C$14/12)-MIN(I78*(1+Debts!$C$14/12),Debts!$D$14)-IF(AND(I78&gt;0,Debts!$E$14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J79" s="22" t="n">
        <f aca="false">IF(J78&lt;=0,0,MAX(0,J78*(1+Debts!$C$15/12)-MIN(J78*(1+Debts!$C$15/12),Debts!$D$15)-IF(AND(J78&gt;0,Debts!$E$15=MIN(IF(C78&gt;0,Debts!$E$8,999),IF(D78&gt;0,Debts!$E$9,999),IF(E78&gt;0,Debts!$E$10,999),IF(F78&gt;0,Debts!$E$11,999),IF(G78&gt;0,Debts!$E$12,999),IF(H78&gt;0,Debts!$E$13,999),IF(I78&gt;0,Debts!$E$14,999),IF(J78&gt;0,Debts!$E$15,999))),MAX(0,(B79-(MIN(C78+0,C78*(1+Debts!$C$8/12))*0+MIN(C78*(1+Debts!$C$8/12),Debts!$D$8)+MIN(C78+0,D78*(1+Debts!$C$9/12))*0+MIN(D78*(1+Debts!$C$9/12),Debts!$D$9)+MIN(C78+0,E78*(1+Debts!$C$10/12))*0+MIN(E78*(1+Debts!$C$10/12),Debts!$D$10)+MIN(C78+0,F78*(1+Debts!$C$11/12))*0+MIN(F78*(1+Debts!$C$11/12),Debts!$D$11)+MIN(C78+0,G78*(1+Debts!$C$12/12))*0+MIN(G78*(1+Debts!$C$12/12),Debts!$D$12)+MIN(C78+0,H78*(1+Debts!$C$13/12))*0+MIN(H78*(1+Debts!$C$13/12),Debts!$D$13)+MIN(C78+0,I78*(1+Debts!$C$14/12))*0+MIN(I78*(1+Debts!$C$14/12),Debts!$D$14)+MIN(C78+0,J78*(1+Debts!$C$15/12))*0+MIN(J78*(1+Debts!$C$15/12),Debts!$D$15)))),0)))</f>
        <v>0</v>
      </c>
      <c r="K79" s="22" t="n">
        <f aca="false">IF(C78&gt;0,C78*Debts!$C$8/12,0)+IF(D78&gt;0,D78*Debts!$C$9/12,0)+IF(E78&gt;0,E78*Debts!$C$10/12,0)+IF(F78&gt;0,F78*Debts!$C$11/12,0)+IF(G78&gt;0,G78*Debts!$C$12/12,0)+IF(H78&gt;0,H78*Debts!$C$13/12,0)+IF(I78&gt;0,I78*Debts!$C$14/12,0)+IF(J78&gt;0,J78*Debts!$C$15/12,0)</f>
        <v>0</v>
      </c>
      <c r="L79" s="22" t="n">
        <f aca="false">SUM(C79:J79)</f>
        <v>0</v>
      </c>
    </row>
    <row r="80" customFormat="false" ht="15" hidden="false" customHeight="false" outlineLevel="0" collapsed="false">
      <c r="A80" s="19" t="n">
        <f aca="false">73</f>
        <v>73</v>
      </c>
      <c r="B80" s="27" t="n">
        <f aca="false">IF(L79&lt;=0,0,Debts!$D$16+Debts!$B$4)</f>
        <v>0</v>
      </c>
      <c r="C80" s="22" t="n">
        <f aca="false">IF(C79&lt;=0,0,MAX(0,C79*(1+Debts!$C$8/12)-MIN(C79*(1+Debts!$C$8/12),Debts!$D$8)-IF(AND(C79&gt;0,Debts!$E$8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D80" s="22" t="n">
        <f aca="false">IF(D79&lt;=0,0,MAX(0,D79*(1+Debts!$C$9/12)-MIN(D79*(1+Debts!$C$9/12),Debts!$D$9)-IF(AND(D79&gt;0,Debts!$E$9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E80" s="22" t="n">
        <f aca="false">IF(E79&lt;=0,0,MAX(0,E79*(1+Debts!$C$10/12)-MIN(E79*(1+Debts!$C$10/12),Debts!$D$10)-IF(AND(E79&gt;0,Debts!$E$10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F80" s="22" t="n">
        <f aca="false">IF(F79&lt;=0,0,MAX(0,F79*(1+Debts!$C$11/12)-MIN(F79*(1+Debts!$C$11/12),Debts!$D$11)-IF(AND(F79&gt;0,Debts!$E$11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G80" s="22" t="n">
        <f aca="false">IF(G79&lt;=0,0,MAX(0,G79*(1+Debts!$C$12/12)-MIN(G79*(1+Debts!$C$12/12),Debts!$D$12)-IF(AND(G79&gt;0,Debts!$E$12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H80" s="22" t="n">
        <f aca="false">IF(H79&lt;=0,0,MAX(0,H79*(1+Debts!$C$13/12)-MIN(H79*(1+Debts!$C$13/12),Debts!$D$13)-IF(AND(H79&gt;0,Debts!$E$13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I80" s="22" t="n">
        <f aca="false">IF(I79&lt;=0,0,MAX(0,I79*(1+Debts!$C$14/12)-MIN(I79*(1+Debts!$C$14/12),Debts!$D$14)-IF(AND(I79&gt;0,Debts!$E$14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J80" s="22" t="n">
        <f aca="false">IF(J79&lt;=0,0,MAX(0,J79*(1+Debts!$C$15/12)-MIN(J79*(1+Debts!$C$15/12),Debts!$D$15)-IF(AND(J79&gt;0,Debts!$E$15=MIN(IF(C79&gt;0,Debts!$E$8,999),IF(D79&gt;0,Debts!$E$9,999),IF(E79&gt;0,Debts!$E$10,999),IF(F79&gt;0,Debts!$E$11,999),IF(G79&gt;0,Debts!$E$12,999),IF(H79&gt;0,Debts!$E$13,999),IF(I79&gt;0,Debts!$E$14,999),IF(J79&gt;0,Debts!$E$15,999))),MAX(0,(B80-(MIN(C79+0,C79*(1+Debts!$C$8/12))*0+MIN(C79*(1+Debts!$C$8/12),Debts!$D$8)+MIN(C79+0,D79*(1+Debts!$C$9/12))*0+MIN(D79*(1+Debts!$C$9/12),Debts!$D$9)+MIN(C79+0,E79*(1+Debts!$C$10/12))*0+MIN(E79*(1+Debts!$C$10/12),Debts!$D$10)+MIN(C79+0,F79*(1+Debts!$C$11/12))*0+MIN(F79*(1+Debts!$C$11/12),Debts!$D$11)+MIN(C79+0,G79*(1+Debts!$C$12/12))*0+MIN(G79*(1+Debts!$C$12/12),Debts!$D$12)+MIN(C79+0,H79*(1+Debts!$C$13/12))*0+MIN(H79*(1+Debts!$C$13/12),Debts!$D$13)+MIN(C79+0,I79*(1+Debts!$C$14/12))*0+MIN(I79*(1+Debts!$C$14/12),Debts!$D$14)+MIN(C79+0,J79*(1+Debts!$C$15/12))*0+MIN(J79*(1+Debts!$C$15/12),Debts!$D$15)))),0)))</f>
        <v>0</v>
      </c>
      <c r="K80" s="22" t="n">
        <f aca="false">IF(C79&gt;0,C79*Debts!$C$8/12,0)+IF(D79&gt;0,D79*Debts!$C$9/12,0)+IF(E79&gt;0,E79*Debts!$C$10/12,0)+IF(F79&gt;0,F79*Debts!$C$11/12,0)+IF(G79&gt;0,G79*Debts!$C$12/12,0)+IF(H79&gt;0,H79*Debts!$C$13/12,0)+IF(I79&gt;0,I79*Debts!$C$14/12,0)+IF(J79&gt;0,J79*Debts!$C$15/12,0)</f>
        <v>0</v>
      </c>
      <c r="L80" s="22" t="n">
        <f aca="false">SUM(C80:J80)</f>
        <v>0</v>
      </c>
    </row>
    <row r="81" customFormat="false" ht="15" hidden="false" customHeight="false" outlineLevel="0" collapsed="false">
      <c r="A81" s="19" t="n">
        <f aca="false">74</f>
        <v>74</v>
      </c>
      <c r="B81" s="27" t="n">
        <f aca="false">IF(L80&lt;=0,0,Debts!$D$16+Debts!$B$4)</f>
        <v>0</v>
      </c>
      <c r="C81" s="22" t="n">
        <f aca="false">IF(C80&lt;=0,0,MAX(0,C80*(1+Debts!$C$8/12)-MIN(C80*(1+Debts!$C$8/12),Debts!$D$8)-IF(AND(C80&gt;0,Debts!$E$8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D81" s="22" t="n">
        <f aca="false">IF(D80&lt;=0,0,MAX(0,D80*(1+Debts!$C$9/12)-MIN(D80*(1+Debts!$C$9/12),Debts!$D$9)-IF(AND(D80&gt;0,Debts!$E$9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E81" s="22" t="n">
        <f aca="false">IF(E80&lt;=0,0,MAX(0,E80*(1+Debts!$C$10/12)-MIN(E80*(1+Debts!$C$10/12),Debts!$D$10)-IF(AND(E80&gt;0,Debts!$E$10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F81" s="22" t="n">
        <f aca="false">IF(F80&lt;=0,0,MAX(0,F80*(1+Debts!$C$11/12)-MIN(F80*(1+Debts!$C$11/12),Debts!$D$11)-IF(AND(F80&gt;0,Debts!$E$11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G81" s="22" t="n">
        <f aca="false">IF(G80&lt;=0,0,MAX(0,G80*(1+Debts!$C$12/12)-MIN(G80*(1+Debts!$C$12/12),Debts!$D$12)-IF(AND(G80&gt;0,Debts!$E$12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H81" s="22" t="n">
        <f aca="false">IF(H80&lt;=0,0,MAX(0,H80*(1+Debts!$C$13/12)-MIN(H80*(1+Debts!$C$13/12),Debts!$D$13)-IF(AND(H80&gt;0,Debts!$E$13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I81" s="22" t="n">
        <f aca="false">IF(I80&lt;=0,0,MAX(0,I80*(1+Debts!$C$14/12)-MIN(I80*(1+Debts!$C$14/12),Debts!$D$14)-IF(AND(I80&gt;0,Debts!$E$14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J81" s="22" t="n">
        <f aca="false">IF(J80&lt;=0,0,MAX(0,J80*(1+Debts!$C$15/12)-MIN(J80*(1+Debts!$C$15/12),Debts!$D$15)-IF(AND(J80&gt;0,Debts!$E$15=MIN(IF(C80&gt;0,Debts!$E$8,999),IF(D80&gt;0,Debts!$E$9,999),IF(E80&gt;0,Debts!$E$10,999),IF(F80&gt;0,Debts!$E$11,999),IF(G80&gt;0,Debts!$E$12,999),IF(H80&gt;0,Debts!$E$13,999),IF(I80&gt;0,Debts!$E$14,999),IF(J80&gt;0,Debts!$E$15,999))),MAX(0,(B81-(MIN(C80+0,C80*(1+Debts!$C$8/12))*0+MIN(C80*(1+Debts!$C$8/12),Debts!$D$8)+MIN(C80+0,D80*(1+Debts!$C$9/12))*0+MIN(D80*(1+Debts!$C$9/12),Debts!$D$9)+MIN(C80+0,E80*(1+Debts!$C$10/12))*0+MIN(E80*(1+Debts!$C$10/12),Debts!$D$10)+MIN(C80+0,F80*(1+Debts!$C$11/12))*0+MIN(F80*(1+Debts!$C$11/12),Debts!$D$11)+MIN(C80+0,G80*(1+Debts!$C$12/12))*0+MIN(G80*(1+Debts!$C$12/12),Debts!$D$12)+MIN(C80+0,H80*(1+Debts!$C$13/12))*0+MIN(H80*(1+Debts!$C$13/12),Debts!$D$13)+MIN(C80+0,I80*(1+Debts!$C$14/12))*0+MIN(I80*(1+Debts!$C$14/12),Debts!$D$14)+MIN(C80+0,J80*(1+Debts!$C$15/12))*0+MIN(J80*(1+Debts!$C$15/12),Debts!$D$15)))),0)))</f>
        <v>0</v>
      </c>
      <c r="K81" s="22" t="n">
        <f aca="false">IF(C80&gt;0,C80*Debts!$C$8/12,0)+IF(D80&gt;0,D80*Debts!$C$9/12,0)+IF(E80&gt;0,E80*Debts!$C$10/12,0)+IF(F80&gt;0,F80*Debts!$C$11/12,0)+IF(G80&gt;0,G80*Debts!$C$12/12,0)+IF(H80&gt;0,H80*Debts!$C$13/12,0)+IF(I80&gt;0,I80*Debts!$C$14/12,0)+IF(J80&gt;0,J80*Debts!$C$15/12,0)</f>
        <v>0</v>
      </c>
      <c r="L81" s="22" t="n">
        <f aca="false">SUM(C81:J81)</f>
        <v>0</v>
      </c>
    </row>
    <row r="82" customFormat="false" ht="15" hidden="false" customHeight="false" outlineLevel="0" collapsed="false">
      <c r="A82" s="19" t="n">
        <f aca="false">75</f>
        <v>75</v>
      </c>
      <c r="B82" s="27" t="n">
        <f aca="false">IF(L81&lt;=0,0,Debts!$D$16+Debts!$B$4)</f>
        <v>0</v>
      </c>
      <c r="C82" s="22" t="n">
        <f aca="false">IF(C81&lt;=0,0,MAX(0,C81*(1+Debts!$C$8/12)-MIN(C81*(1+Debts!$C$8/12),Debts!$D$8)-IF(AND(C81&gt;0,Debts!$E$8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D82" s="22" t="n">
        <f aca="false">IF(D81&lt;=0,0,MAX(0,D81*(1+Debts!$C$9/12)-MIN(D81*(1+Debts!$C$9/12),Debts!$D$9)-IF(AND(D81&gt;0,Debts!$E$9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E82" s="22" t="n">
        <f aca="false">IF(E81&lt;=0,0,MAX(0,E81*(1+Debts!$C$10/12)-MIN(E81*(1+Debts!$C$10/12),Debts!$D$10)-IF(AND(E81&gt;0,Debts!$E$10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F82" s="22" t="n">
        <f aca="false">IF(F81&lt;=0,0,MAX(0,F81*(1+Debts!$C$11/12)-MIN(F81*(1+Debts!$C$11/12),Debts!$D$11)-IF(AND(F81&gt;0,Debts!$E$11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G82" s="22" t="n">
        <f aca="false">IF(G81&lt;=0,0,MAX(0,G81*(1+Debts!$C$12/12)-MIN(G81*(1+Debts!$C$12/12),Debts!$D$12)-IF(AND(G81&gt;0,Debts!$E$12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H82" s="22" t="n">
        <f aca="false">IF(H81&lt;=0,0,MAX(0,H81*(1+Debts!$C$13/12)-MIN(H81*(1+Debts!$C$13/12),Debts!$D$13)-IF(AND(H81&gt;0,Debts!$E$13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I82" s="22" t="n">
        <f aca="false">IF(I81&lt;=0,0,MAX(0,I81*(1+Debts!$C$14/12)-MIN(I81*(1+Debts!$C$14/12),Debts!$D$14)-IF(AND(I81&gt;0,Debts!$E$14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J82" s="22" t="n">
        <f aca="false">IF(J81&lt;=0,0,MAX(0,J81*(1+Debts!$C$15/12)-MIN(J81*(1+Debts!$C$15/12),Debts!$D$15)-IF(AND(J81&gt;0,Debts!$E$15=MIN(IF(C81&gt;0,Debts!$E$8,999),IF(D81&gt;0,Debts!$E$9,999),IF(E81&gt;0,Debts!$E$10,999),IF(F81&gt;0,Debts!$E$11,999),IF(G81&gt;0,Debts!$E$12,999),IF(H81&gt;0,Debts!$E$13,999),IF(I81&gt;0,Debts!$E$14,999),IF(J81&gt;0,Debts!$E$15,999))),MAX(0,(B82-(MIN(C81+0,C81*(1+Debts!$C$8/12))*0+MIN(C81*(1+Debts!$C$8/12),Debts!$D$8)+MIN(C81+0,D81*(1+Debts!$C$9/12))*0+MIN(D81*(1+Debts!$C$9/12),Debts!$D$9)+MIN(C81+0,E81*(1+Debts!$C$10/12))*0+MIN(E81*(1+Debts!$C$10/12),Debts!$D$10)+MIN(C81+0,F81*(1+Debts!$C$11/12))*0+MIN(F81*(1+Debts!$C$11/12),Debts!$D$11)+MIN(C81+0,G81*(1+Debts!$C$12/12))*0+MIN(G81*(1+Debts!$C$12/12),Debts!$D$12)+MIN(C81+0,H81*(1+Debts!$C$13/12))*0+MIN(H81*(1+Debts!$C$13/12),Debts!$D$13)+MIN(C81+0,I81*(1+Debts!$C$14/12))*0+MIN(I81*(1+Debts!$C$14/12),Debts!$D$14)+MIN(C81+0,J81*(1+Debts!$C$15/12))*0+MIN(J81*(1+Debts!$C$15/12),Debts!$D$15)))),0)))</f>
        <v>0</v>
      </c>
      <c r="K82" s="22" t="n">
        <f aca="false">IF(C81&gt;0,C81*Debts!$C$8/12,0)+IF(D81&gt;0,D81*Debts!$C$9/12,0)+IF(E81&gt;0,E81*Debts!$C$10/12,0)+IF(F81&gt;0,F81*Debts!$C$11/12,0)+IF(G81&gt;0,G81*Debts!$C$12/12,0)+IF(H81&gt;0,H81*Debts!$C$13/12,0)+IF(I81&gt;0,I81*Debts!$C$14/12,0)+IF(J81&gt;0,J81*Debts!$C$15/12,0)</f>
        <v>0</v>
      </c>
      <c r="L82" s="22" t="n">
        <f aca="false">SUM(C82:J82)</f>
        <v>0</v>
      </c>
    </row>
    <row r="83" customFormat="false" ht="15" hidden="false" customHeight="false" outlineLevel="0" collapsed="false">
      <c r="A83" s="19" t="n">
        <f aca="false">76</f>
        <v>76</v>
      </c>
      <c r="B83" s="27" t="n">
        <f aca="false">IF(L82&lt;=0,0,Debts!$D$16+Debts!$B$4)</f>
        <v>0</v>
      </c>
      <c r="C83" s="22" t="n">
        <f aca="false">IF(C82&lt;=0,0,MAX(0,C82*(1+Debts!$C$8/12)-MIN(C82*(1+Debts!$C$8/12),Debts!$D$8)-IF(AND(C82&gt;0,Debts!$E$8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D83" s="22" t="n">
        <f aca="false">IF(D82&lt;=0,0,MAX(0,D82*(1+Debts!$C$9/12)-MIN(D82*(1+Debts!$C$9/12),Debts!$D$9)-IF(AND(D82&gt;0,Debts!$E$9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E83" s="22" t="n">
        <f aca="false">IF(E82&lt;=0,0,MAX(0,E82*(1+Debts!$C$10/12)-MIN(E82*(1+Debts!$C$10/12),Debts!$D$10)-IF(AND(E82&gt;0,Debts!$E$10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F83" s="22" t="n">
        <f aca="false">IF(F82&lt;=0,0,MAX(0,F82*(1+Debts!$C$11/12)-MIN(F82*(1+Debts!$C$11/12),Debts!$D$11)-IF(AND(F82&gt;0,Debts!$E$11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G83" s="22" t="n">
        <f aca="false">IF(G82&lt;=0,0,MAX(0,G82*(1+Debts!$C$12/12)-MIN(G82*(1+Debts!$C$12/12),Debts!$D$12)-IF(AND(G82&gt;0,Debts!$E$12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H83" s="22" t="n">
        <f aca="false">IF(H82&lt;=0,0,MAX(0,H82*(1+Debts!$C$13/12)-MIN(H82*(1+Debts!$C$13/12),Debts!$D$13)-IF(AND(H82&gt;0,Debts!$E$13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I83" s="22" t="n">
        <f aca="false">IF(I82&lt;=0,0,MAX(0,I82*(1+Debts!$C$14/12)-MIN(I82*(1+Debts!$C$14/12),Debts!$D$14)-IF(AND(I82&gt;0,Debts!$E$14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J83" s="22" t="n">
        <f aca="false">IF(J82&lt;=0,0,MAX(0,J82*(1+Debts!$C$15/12)-MIN(J82*(1+Debts!$C$15/12),Debts!$D$15)-IF(AND(J82&gt;0,Debts!$E$15=MIN(IF(C82&gt;0,Debts!$E$8,999),IF(D82&gt;0,Debts!$E$9,999),IF(E82&gt;0,Debts!$E$10,999),IF(F82&gt;0,Debts!$E$11,999),IF(G82&gt;0,Debts!$E$12,999),IF(H82&gt;0,Debts!$E$13,999),IF(I82&gt;0,Debts!$E$14,999),IF(J82&gt;0,Debts!$E$15,999))),MAX(0,(B83-(MIN(C82+0,C82*(1+Debts!$C$8/12))*0+MIN(C82*(1+Debts!$C$8/12),Debts!$D$8)+MIN(C82+0,D82*(1+Debts!$C$9/12))*0+MIN(D82*(1+Debts!$C$9/12),Debts!$D$9)+MIN(C82+0,E82*(1+Debts!$C$10/12))*0+MIN(E82*(1+Debts!$C$10/12),Debts!$D$10)+MIN(C82+0,F82*(1+Debts!$C$11/12))*0+MIN(F82*(1+Debts!$C$11/12),Debts!$D$11)+MIN(C82+0,G82*(1+Debts!$C$12/12))*0+MIN(G82*(1+Debts!$C$12/12),Debts!$D$12)+MIN(C82+0,H82*(1+Debts!$C$13/12))*0+MIN(H82*(1+Debts!$C$13/12),Debts!$D$13)+MIN(C82+0,I82*(1+Debts!$C$14/12))*0+MIN(I82*(1+Debts!$C$14/12),Debts!$D$14)+MIN(C82+0,J82*(1+Debts!$C$15/12))*0+MIN(J82*(1+Debts!$C$15/12),Debts!$D$15)))),0)))</f>
        <v>0</v>
      </c>
      <c r="K83" s="22" t="n">
        <f aca="false">IF(C82&gt;0,C82*Debts!$C$8/12,0)+IF(D82&gt;0,D82*Debts!$C$9/12,0)+IF(E82&gt;0,E82*Debts!$C$10/12,0)+IF(F82&gt;0,F82*Debts!$C$11/12,0)+IF(G82&gt;0,G82*Debts!$C$12/12,0)+IF(H82&gt;0,H82*Debts!$C$13/12,0)+IF(I82&gt;0,I82*Debts!$C$14/12,0)+IF(J82&gt;0,J82*Debts!$C$15/12,0)</f>
        <v>0</v>
      </c>
      <c r="L83" s="22" t="n">
        <f aca="false">SUM(C83:J83)</f>
        <v>0</v>
      </c>
    </row>
    <row r="84" customFormat="false" ht="15" hidden="false" customHeight="false" outlineLevel="0" collapsed="false">
      <c r="A84" s="19" t="n">
        <f aca="false">77</f>
        <v>77</v>
      </c>
      <c r="B84" s="27" t="n">
        <f aca="false">IF(L83&lt;=0,0,Debts!$D$16+Debts!$B$4)</f>
        <v>0</v>
      </c>
      <c r="C84" s="22" t="n">
        <f aca="false">IF(C83&lt;=0,0,MAX(0,C83*(1+Debts!$C$8/12)-MIN(C83*(1+Debts!$C$8/12),Debts!$D$8)-IF(AND(C83&gt;0,Debts!$E$8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D84" s="22" t="n">
        <f aca="false">IF(D83&lt;=0,0,MAX(0,D83*(1+Debts!$C$9/12)-MIN(D83*(1+Debts!$C$9/12),Debts!$D$9)-IF(AND(D83&gt;0,Debts!$E$9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E84" s="22" t="n">
        <f aca="false">IF(E83&lt;=0,0,MAX(0,E83*(1+Debts!$C$10/12)-MIN(E83*(1+Debts!$C$10/12),Debts!$D$10)-IF(AND(E83&gt;0,Debts!$E$10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F84" s="22" t="n">
        <f aca="false">IF(F83&lt;=0,0,MAX(0,F83*(1+Debts!$C$11/12)-MIN(F83*(1+Debts!$C$11/12),Debts!$D$11)-IF(AND(F83&gt;0,Debts!$E$11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G84" s="22" t="n">
        <f aca="false">IF(G83&lt;=0,0,MAX(0,G83*(1+Debts!$C$12/12)-MIN(G83*(1+Debts!$C$12/12),Debts!$D$12)-IF(AND(G83&gt;0,Debts!$E$12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H84" s="22" t="n">
        <f aca="false">IF(H83&lt;=0,0,MAX(0,H83*(1+Debts!$C$13/12)-MIN(H83*(1+Debts!$C$13/12),Debts!$D$13)-IF(AND(H83&gt;0,Debts!$E$13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I84" s="22" t="n">
        <f aca="false">IF(I83&lt;=0,0,MAX(0,I83*(1+Debts!$C$14/12)-MIN(I83*(1+Debts!$C$14/12),Debts!$D$14)-IF(AND(I83&gt;0,Debts!$E$14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J84" s="22" t="n">
        <f aca="false">IF(J83&lt;=0,0,MAX(0,J83*(1+Debts!$C$15/12)-MIN(J83*(1+Debts!$C$15/12),Debts!$D$15)-IF(AND(J83&gt;0,Debts!$E$15=MIN(IF(C83&gt;0,Debts!$E$8,999),IF(D83&gt;0,Debts!$E$9,999),IF(E83&gt;0,Debts!$E$10,999),IF(F83&gt;0,Debts!$E$11,999),IF(G83&gt;0,Debts!$E$12,999),IF(H83&gt;0,Debts!$E$13,999),IF(I83&gt;0,Debts!$E$14,999),IF(J83&gt;0,Debts!$E$15,999))),MAX(0,(B84-(MIN(C83+0,C83*(1+Debts!$C$8/12))*0+MIN(C83*(1+Debts!$C$8/12),Debts!$D$8)+MIN(C83+0,D83*(1+Debts!$C$9/12))*0+MIN(D83*(1+Debts!$C$9/12),Debts!$D$9)+MIN(C83+0,E83*(1+Debts!$C$10/12))*0+MIN(E83*(1+Debts!$C$10/12),Debts!$D$10)+MIN(C83+0,F83*(1+Debts!$C$11/12))*0+MIN(F83*(1+Debts!$C$11/12),Debts!$D$11)+MIN(C83+0,G83*(1+Debts!$C$12/12))*0+MIN(G83*(1+Debts!$C$12/12),Debts!$D$12)+MIN(C83+0,H83*(1+Debts!$C$13/12))*0+MIN(H83*(1+Debts!$C$13/12),Debts!$D$13)+MIN(C83+0,I83*(1+Debts!$C$14/12))*0+MIN(I83*(1+Debts!$C$14/12),Debts!$D$14)+MIN(C83+0,J83*(1+Debts!$C$15/12))*0+MIN(J83*(1+Debts!$C$15/12),Debts!$D$15)))),0)))</f>
        <v>0</v>
      </c>
      <c r="K84" s="22" t="n">
        <f aca="false">IF(C83&gt;0,C83*Debts!$C$8/12,0)+IF(D83&gt;0,D83*Debts!$C$9/12,0)+IF(E83&gt;0,E83*Debts!$C$10/12,0)+IF(F83&gt;0,F83*Debts!$C$11/12,0)+IF(G83&gt;0,G83*Debts!$C$12/12,0)+IF(H83&gt;0,H83*Debts!$C$13/12,0)+IF(I83&gt;0,I83*Debts!$C$14/12,0)+IF(J83&gt;0,J83*Debts!$C$15/12,0)</f>
        <v>0</v>
      </c>
      <c r="L84" s="22" t="n">
        <f aca="false">SUM(C84:J84)</f>
        <v>0</v>
      </c>
    </row>
    <row r="85" customFormat="false" ht="15" hidden="false" customHeight="false" outlineLevel="0" collapsed="false">
      <c r="A85" s="19" t="n">
        <f aca="false">78</f>
        <v>78</v>
      </c>
      <c r="B85" s="27" t="n">
        <f aca="false">IF(L84&lt;=0,0,Debts!$D$16+Debts!$B$4)</f>
        <v>0</v>
      </c>
      <c r="C85" s="22" t="n">
        <f aca="false">IF(C84&lt;=0,0,MAX(0,C84*(1+Debts!$C$8/12)-MIN(C84*(1+Debts!$C$8/12),Debts!$D$8)-IF(AND(C84&gt;0,Debts!$E$8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D85" s="22" t="n">
        <f aca="false">IF(D84&lt;=0,0,MAX(0,D84*(1+Debts!$C$9/12)-MIN(D84*(1+Debts!$C$9/12),Debts!$D$9)-IF(AND(D84&gt;0,Debts!$E$9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E85" s="22" t="n">
        <f aca="false">IF(E84&lt;=0,0,MAX(0,E84*(1+Debts!$C$10/12)-MIN(E84*(1+Debts!$C$10/12),Debts!$D$10)-IF(AND(E84&gt;0,Debts!$E$10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F85" s="22" t="n">
        <f aca="false">IF(F84&lt;=0,0,MAX(0,F84*(1+Debts!$C$11/12)-MIN(F84*(1+Debts!$C$11/12),Debts!$D$11)-IF(AND(F84&gt;0,Debts!$E$11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G85" s="22" t="n">
        <f aca="false">IF(G84&lt;=0,0,MAX(0,G84*(1+Debts!$C$12/12)-MIN(G84*(1+Debts!$C$12/12),Debts!$D$12)-IF(AND(G84&gt;0,Debts!$E$12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H85" s="22" t="n">
        <f aca="false">IF(H84&lt;=0,0,MAX(0,H84*(1+Debts!$C$13/12)-MIN(H84*(1+Debts!$C$13/12),Debts!$D$13)-IF(AND(H84&gt;0,Debts!$E$13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I85" s="22" t="n">
        <f aca="false">IF(I84&lt;=0,0,MAX(0,I84*(1+Debts!$C$14/12)-MIN(I84*(1+Debts!$C$14/12),Debts!$D$14)-IF(AND(I84&gt;0,Debts!$E$14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J85" s="22" t="n">
        <f aca="false">IF(J84&lt;=0,0,MAX(0,J84*(1+Debts!$C$15/12)-MIN(J84*(1+Debts!$C$15/12),Debts!$D$15)-IF(AND(J84&gt;0,Debts!$E$15=MIN(IF(C84&gt;0,Debts!$E$8,999),IF(D84&gt;0,Debts!$E$9,999),IF(E84&gt;0,Debts!$E$10,999),IF(F84&gt;0,Debts!$E$11,999),IF(G84&gt;0,Debts!$E$12,999),IF(H84&gt;0,Debts!$E$13,999),IF(I84&gt;0,Debts!$E$14,999),IF(J84&gt;0,Debts!$E$15,999))),MAX(0,(B85-(MIN(C84+0,C84*(1+Debts!$C$8/12))*0+MIN(C84*(1+Debts!$C$8/12),Debts!$D$8)+MIN(C84+0,D84*(1+Debts!$C$9/12))*0+MIN(D84*(1+Debts!$C$9/12),Debts!$D$9)+MIN(C84+0,E84*(1+Debts!$C$10/12))*0+MIN(E84*(1+Debts!$C$10/12),Debts!$D$10)+MIN(C84+0,F84*(1+Debts!$C$11/12))*0+MIN(F84*(1+Debts!$C$11/12),Debts!$D$11)+MIN(C84+0,G84*(1+Debts!$C$12/12))*0+MIN(G84*(1+Debts!$C$12/12),Debts!$D$12)+MIN(C84+0,H84*(1+Debts!$C$13/12))*0+MIN(H84*(1+Debts!$C$13/12),Debts!$D$13)+MIN(C84+0,I84*(1+Debts!$C$14/12))*0+MIN(I84*(1+Debts!$C$14/12),Debts!$D$14)+MIN(C84+0,J84*(1+Debts!$C$15/12))*0+MIN(J84*(1+Debts!$C$15/12),Debts!$D$15)))),0)))</f>
        <v>0</v>
      </c>
      <c r="K85" s="22" t="n">
        <f aca="false">IF(C84&gt;0,C84*Debts!$C$8/12,0)+IF(D84&gt;0,D84*Debts!$C$9/12,0)+IF(E84&gt;0,E84*Debts!$C$10/12,0)+IF(F84&gt;0,F84*Debts!$C$11/12,0)+IF(G84&gt;0,G84*Debts!$C$12/12,0)+IF(H84&gt;0,H84*Debts!$C$13/12,0)+IF(I84&gt;0,I84*Debts!$C$14/12,0)+IF(J84&gt;0,J84*Debts!$C$15/12,0)</f>
        <v>0</v>
      </c>
      <c r="L85" s="22" t="n">
        <f aca="false">SUM(C85:J85)</f>
        <v>0</v>
      </c>
    </row>
    <row r="86" customFormat="false" ht="15" hidden="false" customHeight="false" outlineLevel="0" collapsed="false">
      <c r="A86" s="19" t="n">
        <f aca="false">79</f>
        <v>79</v>
      </c>
      <c r="B86" s="27" t="n">
        <f aca="false">IF(L85&lt;=0,0,Debts!$D$16+Debts!$B$4)</f>
        <v>0</v>
      </c>
      <c r="C86" s="22" t="n">
        <f aca="false">IF(C85&lt;=0,0,MAX(0,C85*(1+Debts!$C$8/12)-MIN(C85*(1+Debts!$C$8/12),Debts!$D$8)-IF(AND(C85&gt;0,Debts!$E$8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D86" s="22" t="n">
        <f aca="false">IF(D85&lt;=0,0,MAX(0,D85*(1+Debts!$C$9/12)-MIN(D85*(1+Debts!$C$9/12),Debts!$D$9)-IF(AND(D85&gt;0,Debts!$E$9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E86" s="22" t="n">
        <f aca="false">IF(E85&lt;=0,0,MAX(0,E85*(1+Debts!$C$10/12)-MIN(E85*(1+Debts!$C$10/12),Debts!$D$10)-IF(AND(E85&gt;0,Debts!$E$10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F86" s="22" t="n">
        <f aca="false">IF(F85&lt;=0,0,MAX(0,F85*(1+Debts!$C$11/12)-MIN(F85*(1+Debts!$C$11/12),Debts!$D$11)-IF(AND(F85&gt;0,Debts!$E$11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G86" s="22" t="n">
        <f aca="false">IF(G85&lt;=0,0,MAX(0,G85*(1+Debts!$C$12/12)-MIN(G85*(1+Debts!$C$12/12),Debts!$D$12)-IF(AND(G85&gt;0,Debts!$E$12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H86" s="22" t="n">
        <f aca="false">IF(H85&lt;=0,0,MAX(0,H85*(1+Debts!$C$13/12)-MIN(H85*(1+Debts!$C$13/12),Debts!$D$13)-IF(AND(H85&gt;0,Debts!$E$13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I86" s="22" t="n">
        <f aca="false">IF(I85&lt;=0,0,MAX(0,I85*(1+Debts!$C$14/12)-MIN(I85*(1+Debts!$C$14/12),Debts!$D$14)-IF(AND(I85&gt;0,Debts!$E$14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J86" s="22" t="n">
        <f aca="false">IF(J85&lt;=0,0,MAX(0,J85*(1+Debts!$C$15/12)-MIN(J85*(1+Debts!$C$15/12),Debts!$D$15)-IF(AND(J85&gt;0,Debts!$E$15=MIN(IF(C85&gt;0,Debts!$E$8,999),IF(D85&gt;0,Debts!$E$9,999),IF(E85&gt;0,Debts!$E$10,999),IF(F85&gt;0,Debts!$E$11,999),IF(G85&gt;0,Debts!$E$12,999),IF(H85&gt;0,Debts!$E$13,999),IF(I85&gt;0,Debts!$E$14,999),IF(J85&gt;0,Debts!$E$15,999))),MAX(0,(B86-(MIN(C85+0,C85*(1+Debts!$C$8/12))*0+MIN(C85*(1+Debts!$C$8/12),Debts!$D$8)+MIN(C85+0,D85*(1+Debts!$C$9/12))*0+MIN(D85*(1+Debts!$C$9/12),Debts!$D$9)+MIN(C85+0,E85*(1+Debts!$C$10/12))*0+MIN(E85*(1+Debts!$C$10/12),Debts!$D$10)+MIN(C85+0,F85*(1+Debts!$C$11/12))*0+MIN(F85*(1+Debts!$C$11/12),Debts!$D$11)+MIN(C85+0,G85*(1+Debts!$C$12/12))*0+MIN(G85*(1+Debts!$C$12/12),Debts!$D$12)+MIN(C85+0,H85*(1+Debts!$C$13/12))*0+MIN(H85*(1+Debts!$C$13/12),Debts!$D$13)+MIN(C85+0,I85*(1+Debts!$C$14/12))*0+MIN(I85*(1+Debts!$C$14/12),Debts!$D$14)+MIN(C85+0,J85*(1+Debts!$C$15/12))*0+MIN(J85*(1+Debts!$C$15/12),Debts!$D$15)))),0)))</f>
        <v>0</v>
      </c>
      <c r="K86" s="22" t="n">
        <f aca="false">IF(C85&gt;0,C85*Debts!$C$8/12,0)+IF(D85&gt;0,D85*Debts!$C$9/12,0)+IF(E85&gt;0,E85*Debts!$C$10/12,0)+IF(F85&gt;0,F85*Debts!$C$11/12,0)+IF(G85&gt;0,G85*Debts!$C$12/12,0)+IF(H85&gt;0,H85*Debts!$C$13/12,0)+IF(I85&gt;0,I85*Debts!$C$14/12,0)+IF(J85&gt;0,J85*Debts!$C$15/12,0)</f>
        <v>0</v>
      </c>
      <c r="L86" s="22" t="n">
        <f aca="false">SUM(C86:J86)</f>
        <v>0</v>
      </c>
    </row>
    <row r="87" customFormat="false" ht="15" hidden="false" customHeight="false" outlineLevel="0" collapsed="false">
      <c r="A87" s="19" t="n">
        <f aca="false">80</f>
        <v>80</v>
      </c>
      <c r="B87" s="27" t="n">
        <f aca="false">IF(L86&lt;=0,0,Debts!$D$16+Debts!$B$4)</f>
        <v>0</v>
      </c>
      <c r="C87" s="22" t="n">
        <f aca="false">IF(C86&lt;=0,0,MAX(0,C86*(1+Debts!$C$8/12)-MIN(C86*(1+Debts!$C$8/12),Debts!$D$8)-IF(AND(C86&gt;0,Debts!$E$8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D87" s="22" t="n">
        <f aca="false">IF(D86&lt;=0,0,MAX(0,D86*(1+Debts!$C$9/12)-MIN(D86*(1+Debts!$C$9/12),Debts!$D$9)-IF(AND(D86&gt;0,Debts!$E$9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E87" s="22" t="n">
        <f aca="false">IF(E86&lt;=0,0,MAX(0,E86*(1+Debts!$C$10/12)-MIN(E86*(1+Debts!$C$10/12),Debts!$D$10)-IF(AND(E86&gt;0,Debts!$E$10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F87" s="22" t="n">
        <f aca="false">IF(F86&lt;=0,0,MAX(0,F86*(1+Debts!$C$11/12)-MIN(F86*(1+Debts!$C$11/12),Debts!$D$11)-IF(AND(F86&gt;0,Debts!$E$11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G87" s="22" t="n">
        <f aca="false">IF(G86&lt;=0,0,MAX(0,G86*(1+Debts!$C$12/12)-MIN(G86*(1+Debts!$C$12/12),Debts!$D$12)-IF(AND(G86&gt;0,Debts!$E$12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H87" s="22" t="n">
        <f aca="false">IF(H86&lt;=0,0,MAX(0,H86*(1+Debts!$C$13/12)-MIN(H86*(1+Debts!$C$13/12),Debts!$D$13)-IF(AND(H86&gt;0,Debts!$E$13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I87" s="22" t="n">
        <f aca="false">IF(I86&lt;=0,0,MAX(0,I86*(1+Debts!$C$14/12)-MIN(I86*(1+Debts!$C$14/12),Debts!$D$14)-IF(AND(I86&gt;0,Debts!$E$14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J87" s="22" t="n">
        <f aca="false">IF(J86&lt;=0,0,MAX(0,J86*(1+Debts!$C$15/12)-MIN(J86*(1+Debts!$C$15/12),Debts!$D$15)-IF(AND(J86&gt;0,Debts!$E$15=MIN(IF(C86&gt;0,Debts!$E$8,999),IF(D86&gt;0,Debts!$E$9,999),IF(E86&gt;0,Debts!$E$10,999),IF(F86&gt;0,Debts!$E$11,999),IF(G86&gt;0,Debts!$E$12,999),IF(H86&gt;0,Debts!$E$13,999),IF(I86&gt;0,Debts!$E$14,999),IF(J86&gt;0,Debts!$E$15,999))),MAX(0,(B87-(MIN(C86+0,C86*(1+Debts!$C$8/12))*0+MIN(C86*(1+Debts!$C$8/12),Debts!$D$8)+MIN(C86+0,D86*(1+Debts!$C$9/12))*0+MIN(D86*(1+Debts!$C$9/12),Debts!$D$9)+MIN(C86+0,E86*(1+Debts!$C$10/12))*0+MIN(E86*(1+Debts!$C$10/12),Debts!$D$10)+MIN(C86+0,F86*(1+Debts!$C$11/12))*0+MIN(F86*(1+Debts!$C$11/12),Debts!$D$11)+MIN(C86+0,G86*(1+Debts!$C$12/12))*0+MIN(G86*(1+Debts!$C$12/12),Debts!$D$12)+MIN(C86+0,H86*(1+Debts!$C$13/12))*0+MIN(H86*(1+Debts!$C$13/12),Debts!$D$13)+MIN(C86+0,I86*(1+Debts!$C$14/12))*0+MIN(I86*(1+Debts!$C$14/12),Debts!$D$14)+MIN(C86+0,J86*(1+Debts!$C$15/12))*0+MIN(J86*(1+Debts!$C$15/12),Debts!$D$15)))),0)))</f>
        <v>0</v>
      </c>
      <c r="K87" s="22" t="n">
        <f aca="false">IF(C86&gt;0,C86*Debts!$C$8/12,0)+IF(D86&gt;0,D86*Debts!$C$9/12,0)+IF(E86&gt;0,E86*Debts!$C$10/12,0)+IF(F86&gt;0,F86*Debts!$C$11/12,0)+IF(G86&gt;0,G86*Debts!$C$12/12,0)+IF(H86&gt;0,H86*Debts!$C$13/12,0)+IF(I86&gt;0,I86*Debts!$C$14/12,0)+IF(J86&gt;0,J86*Debts!$C$15/12,0)</f>
        <v>0</v>
      </c>
      <c r="L87" s="22" t="n">
        <f aca="false">SUM(C87:J87)</f>
        <v>0</v>
      </c>
    </row>
    <row r="88" customFormat="false" ht="15" hidden="false" customHeight="false" outlineLevel="0" collapsed="false">
      <c r="A88" s="19" t="n">
        <f aca="false">81</f>
        <v>81</v>
      </c>
      <c r="B88" s="27" t="n">
        <f aca="false">IF(L87&lt;=0,0,Debts!$D$16+Debts!$B$4)</f>
        <v>0</v>
      </c>
      <c r="C88" s="22" t="n">
        <f aca="false">IF(C87&lt;=0,0,MAX(0,C87*(1+Debts!$C$8/12)-MIN(C87*(1+Debts!$C$8/12),Debts!$D$8)-IF(AND(C87&gt;0,Debts!$E$8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D88" s="22" t="n">
        <f aca="false">IF(D87&lt;=0,0,MAX(0,D87*(1+Debts!$C$9/12)-MIN(D87*(1+Debts!$C$9/12),Debts!$D$9)-IF(AND(D87&gt;0,Debts!$E$9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E88" s="22" t="n">
        <f aca="false">IF(E87&lt;=0,0,MAX(0,E87*(1+Debts!$C$10/12)-MIN(E87*(1+Debts!$C$10/12),Debts!$D$10)-IF(AND(E87&gt;0,Debts!$E$10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F88" s="22" t="n">
        <f aca="false">IF(F87&lt;=0,0,MAX(0,F87*(1+Debts!$C$11/12)-MIN(F87*(1+Debts!$C$11/12),Debts!$D$11)-IF(AND(F87&gt;0,Debts!$E$11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G88" s="22" t="n">
        <f aca="false">IF(G87&lt;=0,0,MAX(0,G87*(1+Debts!$C$12/12)-MIN(G87*(1+Debts!$C$12/12),Debts!$D$12)-IF(AND(G87&gt;0,Debts!$E$12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H88" s="22" t="n">
        <f aca="false">IF(H87&lt;=0,0,MAX(0,H87*(1+Debts!$C$13/12)-MIN(H87*(1+Debts!$C$13/12),Debts!$D$13)-IF(AND(H87&gt;0,Debts!$E$13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I88" s="22" t="n">
        <f aca="false">IF(I87&lt;=0,0,MAX(0,I87*(1+Debts!$C$14/12)-MIN(I87*(1+Debts!$C$14/12),Debts!$D$14)-IF(AND(I87&gt;0,Debts!$E$14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J88" s="22" t="n">
        <f aca="false">IF(J87&lt;=0,0,MAX(0,J87*(1+Debts!$C$15/12)-MIN(J87*(1+Debts!$C$15/12),Debts!$D$15)-IF(AND(J87&gt;0,Debts!$E$15=MIN(IF(C87&gt;0,Debts!$E$8,999),IF(D87&gt;0,Debts!$E$9,999),IF(E87&gt;0,Debts!$E$10,999),IF(F87&gt;0,Debts!$E$11,999),IF(G87&gt;0,Debts!$E$12,999),IF(H87&gt;0,Debts!$E$13,999),IF(I87&gt;0,Debts!$E$14,999),IF(J87&gt;0,Debts!$E$15,999))),MAX(0,(B88-(MIN(C87+0,C87*(1+Debts!$C$8/12))*0+MIN(C87*(1+Debts!$C$8/12),Debts!$D$8)+MIN(C87+0,D87*(1+Debts!$C$9/12))*0+MIN(D87*(1+Debts!$C$9/12),Debts!$D$9)+MIN(C87+0,E87*(1+Debts!$C$10/12))*0+MIN(E87*(1+Debts!$C$10/12),Debts!$D$10)+MIN(C87+0,F87*(1+Debts!$C$11/12))*0+MIN(F87*(1+Debts!$C$11/12),Debts!$D$11)+MIN(C87+0,G87*(1+Debts!$C$12/12))*0+MIN(G87*(1+Debts!$C$12/12),Debts!$D$12)+MIN(C87+0,H87*(1+Debts!$C$13/12))*0+MIN(H87*(1+Debts!$C$13/12),Debts!$D$13)+MIN(C87+0,I87*(1+Debts!$C$14/12))*0+MIN(I87*(1+Debts!$C$14/12),Debts!$D$14)+MIN(C87+0,J87*(1+Debts!$C$15/12))*0+MIN(J87*(1+Debts!$C$15/12),Debts!$D$15)))),0)))</f>
        <v>0</v>
      </c>
      <c r="K88" s="22" t="n">
        <f aca="false">IF(C87&gt;0,C87*Debts!$C$8/12,0)+IF(D87&gt;0,D87*Debts!$C$9/12,0)+IF(E87&gt;0,E87*Debts!$C$10/12,0)+IF(F87&gt;0,F87*Debts!$C$11/12,0)+IF(G87&gt;0,G87*Debts!$C$12/12,0)+IF(H87&gt;0,H87*Debts!$C$13/12,0)+IF(I87&gt;0,I87*Debts!$C$14/12,0)+IF(J87&gt;0,J87*Debts!$C$15/12,0)</f>
        <v>0</v>
      </c>
      <c r="L88" s="22" t="n">
        <f aca="false">SUM(C88:J88)</f>
        <v>0</v>
      </c>
    </row>
    <row r="89" customFormat="false" ht="15" hidden="false" customHeight="false" outlineLevel="0" collapsed="false">
      <c r="A89" s="19" t="n">
        <f aca="false">82</f>
        <v>82</v>
      </c>
      <c r="B89" s="27" t="n">
        <f aca="false">IF(L88&lt;=0,0,Debts!$D$16+Debts!$B$4)</f>
        <v>0</v>
      </c>
      <c r="C89" s="22" t="n">
        <f aca="false">IF(C88&lt;=0,0,MAX(0,C88*(1+Debts!$C$8/12)-MIN(C88*(1+Debts!$C$8/12),Debts!$D$8)-IF(AND(C88&gt;0,Debts!$E$8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D89" s="22" t="n">
        <f aca="false">IF(D88&lt;=0,0,MAX(0,D88*(1+Debts!$C$9/12)-MIN(D88*(1+Debts!$C$9/12),Debts!$D$9)-IF(AND(D88&gt;0,Debts!$E$9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E89" s="22" t="n">
        <f aca="false">IF(E88&lt;=0,0,MAX(0,E88*(1+Debts!$C$10/12)-MIN(E88*(1+Debts!$C$10/12),Debts!$D$10)-IF(AND(E88&gt;0,Debts!$E$10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F89" s="22" t="n">
        <f aca="false">IF(F88&lt;=0,0,MAX(0,F88*(1+Debts!$C$11/12)-MIN(F88*(1+Debts!$C$11/12),Debts!$D$11)-IF(AND(F88&gt;0,Debts!$E$11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G89" s="22" t="n">
        <f aca="false">IF(G88&lt;=0,0,MAX(0,G88*(1+Debts!$C$12/12)-MIN(G88*(1+Debts!$C$12/12),Debts!$D$12)-IF(AND(G88&gt;0,Debts!$E$12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H89" s="22" t="n">
        <f aca="false">IF(H88&lt;=0,0,MAX(0,H88*(1+Debts!$C$13/12)-MIN(H88*(1+Debts!$C$13/12),Debts!$D$13)-IF(AND(H88&gt;0,Debts!$E$13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I89" s="22" t="n">
        <f aca="false">IF(I88&lt;=0,0,MAX(0,I88*(1+Debts!$C$14/12)-MIN(I88*(1+Debts!$C$14/12),Debts!$D$14)-IF(AND(I88&gt;0,Debts!$E$14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J89" s="22" t="n">
        <f aca="false">IF(J88&lt;=0,0,MAX(0,J88*(1+Debts!$C$15/12)-MIN(J88*(1+Debts!$C$15/12),Debts!$D$15)-IF(AND(J88&gt;0,Debts!$E$15=MIN(IF(C88&gt;0,Debts!$E$8,999),IF(D88&gt;0,Debts!$E$9,999),IF(E88&gt;0,Debts!$E$10,999),IF(F88&gt;0,Debts!$E$11,999),IF(G88&gt;0,Debts!$E$12,999),IF(H88&gt;0,Debts!$E$13,999),IF(I88&gt;0,Debts!$E$14,999),IF(J88&gt;0,Debts!$E$15,999))),MAX(0,(B89-(MIN(C88+0,C88*(1+Debts!$C$8/12))*0+MIN(C88*(1+Debts!$C$8/12),Debts!$D$8)+MIN(C88+0,D88*(1+Debts!$C$9/12))*0+MIN(D88*(1+Debts!$C$9/12),Debts!$D$9)+MIN(C88+0,E88*(1+Debts!$C$10/12))*0+MIN(E88*(1+Debts!$C$10/12),Debts!$D$10)+MIN(C88+0,F88*(1+Debts!$C$11/12))*0+MIN(F88*(1+Debts!$C$11/12),Debts!$D$11)+MIN(C88+0,G88*(1+Debts!$C$12/12))*0+MIN(G88*(1+Debts!$C$12/12),Debts!$D$12)+MIN(C88+0,H88*(1+Debts!$C$13/12))*0+MIN(H88*(1+Debts!$C$13/12),Debts!$D$13)+MIN(C88+0,I88*(1+Debts!$C$14/12))*0+MIN(I88*(1+Debts!$C$14/12),Debts!$D$14)+MIN(C88+0,J88*(1+Debts!$C$15/12))*0+MIN(J88*(1+Debts!$C$15/12),Debts!$D$15)))),0)))</f>
        <v>0</v>
      </c>
      <c r="K89" s="22" t="n">
        <f aca="false">IF(C88&gt;0,C88*Debts!$C$8/12,0)+IF(D88&gt;0,D88*Debts!$C$9/12,0)+IF(E88&gt;0,E88*Debts!$C$10/12,0)+IF(F88&gt;0,F88*Debts!$C$11/12,0)+IF(G88&gt;0,G88*Debts!$C$12/12,0)+IF(H88&gt;0,H88*Debts!$C$13/12,0)+IF(I88&gt;0,I88*Debts!$C$14/12,0)+IF(J88&gt;0,J88*Debts!$C$15/12,0)</f>
        <v>0</v>
      </c>
      <c r="L89" s="22" t="n">
        <f aca="false">SUM(C89:J89)</f>
        <v>0</v>
      </c>
    </row>
    <row r="90" customFormat="false" ht="15" hidden="false" customHeight="false" outlineLevel="0" collapsed="false">
      <c r="A90" s="19" t="n">
        <f aca="false">83</f>
        <v>83</v>
      </c>
      <c r="B90" s="27" t="n">
        <f aca="false">IF(L89&lt;=0,0,Debts!$D$16+Debts!$B$4)</f>
        <v>0</v>
      </c>
      <c r="C90" s="22" t="n">
        <f aca="false">IF(C89&lt;=0,0,MAX(0,C89*(1+Debts!$C$8/12)-MIN(C89*(1+Debts!$C$8/12),Debts!$D$8)-IF(AND(C89&gt;0,Debts!$E$8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D90" s="22" t="n">
        <f aca="false">IF(D89&lt;=0,0,MAX(0,D89*(1+Debts!$C$9/12)-MIN(D89*(1+Debts!$C$9/12),Debts!$D$9)-IF(AND(D89&gt;0,Debts!$E$9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E90" s="22" t="n">
        <f aca="false">IF(E89&lt;=0,0,MAX(0,E89*(1+Debts!$C$10/12)-MIN(E89*(1+Debts!$C$10/12),Debts!$D$10)-IF(AND(E89&gt;0,Debts!$E$10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F90" s="22" t="n">
        <f aca="false">IF(F89&lt;=0,0,MAX(0,F89*(1+Debts!$C$11/12)-MIN(F89*(1+Debts!$C$11/12),Debts!$D$11)-IF(AND(F89&gt;0,Debts!$E$11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G90" s="22" t="n">
        <f aca="false">IF(G89&lt;=0,0,MAX(0,G89*(1+Debts!$C$12/12)-MIN(G89*(1+Debts!$C$12/12),Debts!$D$12)-IF(AND(G89&gt;0,Debts!$E$12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H90" s="22" t="n">
        <f aca="false">IF(H89&lt;=0,0,MAX(0,H89*(1+Debts!$C$13/12)-MIN(H89*(1+Debts!$C$13/12),Debts!$D$13)-IF(AND(H89&gt;0,Debts!$E$13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I90" s="22" t="n">
        <f aca="false">IF(I89&lt;=0,0,MAX(0,I89*(1+Debts!$C$14/12)-MIN(I89*(1+Debts!$C$14/12),Debts!$D$14)-IF(AND(I89&gt;0,Debts!$E$14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J90" s="22" t="n">
        <f aca="false">IF(J89&lt;=0,0,MAX(0,J89*(1+Debts!$C$15/12)-MIN(J89*(1+Debts!$C$15/12),Debts!$D$15)-IF(AND(J89&gt;0,Debts!$E$15=MIN(IF(C89&gt;0,Debts!$E$8,999),IF(D89&gt;0,Debts!$E$9,999),IF(E89&gt;0,Debts!$E$10,999),IF(F89&gt;0,Debts!$E$11,999),IF(G89&gt;0,Debts!$E$12,999),IF(H89&gt;0,Debts!$E$13,999),IF(I89&gt;0,Debts!$E$14,999),IF(J89&gt;0,Debts!$E$15,999))),MAX(0,(B90-(MIN(C89+0,C89*(1+Debts!$C$8/12))*0+MIN(C89*(1+Debts!$C$8/12),Debts!$D$8)+MIN(C89+0,D89*(1+Debts!$C$9/12))*0+MIN(D89*(1+Debts!$C$9/12),Debts!$D$9)+MIN(C89+0,E89*(1+Debts!$C$10/12))*0+MIN(E89*(1+Debts!$C$10/12),Debts!$D$10)+MIN(C89+0,F89*(1+Debts!$C$11/12))*0+MIN(F89*(1+Debts!$C$11/12),Debts!$D$11)+MIN(C89+0,G89*(1+Debts!$C$12/12))*0+MIN(G89*(1+Debts!$C$12/12),Debts!$D$12)+MIN(C89+0,H89*(1+Debts!$C$13/12))*0+MIN(H89*(1+Debts!$C$13/12),Debts!$D$13)+MIN(C89+0,I89*(1+Debts!$C$14/12))*0+MIN(I89*(1+Debts!$C$14/12),Debts!$D$14)+MIN(C89+0,J89*(1+Debts!$C$15/12))*0+MIN(J89*(1+Debts!$C$15/12),Debts!$D$15)))),0)))</f>
        <v>0</v>
      </c>
      <c r="K90" s="22" t="n">
        <f aca="false">IF(C89&gt;0,C89*Debts!$C$8/12,0)+IF(D89&gt;0,D89*Debts!$C$9/12,0)+IF(E89&gt;0,E89*Debts!$C$10/12,0)+IF(F89&gt;0,F89*Debts!$C$11/12,0)+IF(G89&gt;0,G89*Debts!$C$12/12,0)+IF(H89&gt;0,H89*Debts!$C$13/12,0)+IF(I89&gt;0,I89*Debts!$C$14/12,0)+IF(J89&gt;0,J89*Debts!$C$15/12,0)</f>
        <v>0</v>
      </c>
      <c r="L90" s="22" t="n">
        <f aca="false">SUM(C90:J90)</f>
        <v>0</v>
      </c>
    </row>
    <row r="91" customFormat="false" ht="15" hidden="false" customHeight="false" outlineLevel="0" collapsed="false">
      <c r="A91" s="19" t="n">
        <f aca="false">84</f>
        <v>84</v>
      </c>
      <c r="B91" s="27" t="n">
        <f aca="false">IF(L90&lt;=0,0,Debts!$D$16+Debts!$B$4)</f>
        <v>0</v>
      </c>
      <c r="C91" s="22" t="n">
        <f aca="false">IF(C90&lt;=0,0,MAX(0,C90*(1+Debts!$C$8/12)-MIN(C90*(1+Debts!$C$8/12),Debts!$D$8)-IF(AND(C90&gt;0,Debts!$E$8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D91" s="22" t="n">
        <f aca="false">IF(D90&lt;=0,0,MAX(0,D90*(1+Debts!$C$9/12)-MIN(D90*(1+Debts!$C$9/12),Debts!$D$9)-IF(AND(D90&gt;0,Debts!$E$9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E91" s="22" t="n">
        <f aca="false">IF(E90&lt;=0,0,MAX(0,E90*(1+Debts!$C$10/12)-MIN(E90*(1+Debts!$C$10/12),Debts!$D$10)-IF(AND(E90&gt;0,Debts!$E$10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F91" s="22" t="n">
        <f aca="false">IF(F90&lt;=0,0,MAX(0,F90*(1+Debts!$C$11/12)-MIN(F90*(1+Debts!$C$11/12),Debts!$D$11)-IF(AND(F90&gt;0,Debts!$E$11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G91" s="22" t="n">
        <f aca="false">IF(G90&lt;=0,0,MAX(0,G90*(1+Debts!$C$12/12)-MIN(G90*(1+Debts!$C$12/12),Debts!$D$12)-IF(AND(G90&gt;0,Debts!$E$12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H91" s="22" t="n">
        <f aca="false">IF(H90&lt;=0,0,MAX(0,H90*(1+Debts!$C$13/12)-MIN(H90*(1+Debts!$C$13/12),Debts!$D$13)-IF(AND(H90&gt;0,Debts!$E$13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I91" s="22" t="n">
        <f aca="false">IF(I90&lt;=0,0,MAX(0,I90*(1+Debts!$C$14/12)-MIN(I90*(1+Debts!$C$14/12),Debts!$D$14)-IF(AND(I90&gt;0,Debts!$E$14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J91" s="22" t="n">
        <f aca="false">IF(J90&lt;=0,0,MAX(0,J90*(1+Debts!$C$15/12)-MIN(J90*(1+Debts!$C$15/12),Debts!$D$15)-IF(AND(J90&gt;0,Debts!$E$15=MIN(IF(C90&gt;0,Debts!$E$8,999),IF(D90&gt;0,Debts!$E$9,999),IF(E90&gt;0,Debts!$E$10,999),IF(F90&gt;0,Debts!$E$11,999),IF(G90&gt;0,Debts!$E$12,999),IF(H90&gt;0,Debts!$E$13,999),IF(I90&gt;0,Debts!$E$14,999),IF(J90&gt;0,Debts!$E$15,999))),MAX(0,(B91-(MIN(C90+0,C90*(1+Debts!$C$8/12))*0+MIN(C90*(1+Debts!$C$8/12),Debts!$D$8)+MIN(C90+0,D90*(1+Debts!$C$9/12))*0+MIN(D90*(1+Debts!$C$9/12),Debts!$D$9)+MIN(C90+0,E90*(1+Debts!$C$10/12))*0+MIN(E90*(1+Debts!$C$10/12),Debts!$D$10)+MIN(C90+0,F90*(1+Debts!$C$11/12))*0+MIN(F90*(1+Debts!$C$11/12),Debts!$D$11)+MIN(C90+0,G90*(1+Debts!$C$12/12))*0+MIN(G90*(1+Debts!$C$12/12),Debts!$D$12)+MIN(C90+0,H90*(1+Debts!$C$13/12))*0+MIN(H90*(1+Debts!$C$13/12),Debts!$D$13)+MIN(C90+0,I90*(1+Debts!$C$14/12))*0+MIN(I90*(1+Debts!$C$14/12),Debts!$D$14)+MIN(C90+0,J90*(1+Debts!$C$15/12))*0+MIN(J90*(1+Debts!$C$15/12),Debts!$D$15)))),0)))</f>
        <v>0</v>
      </c>
      <c r="K91" s="22" t="n">
        <f aca="false">IF(C90&gt;0,C90*Debts!$C$8/12,0)+IF(D90&gt;0,D90*Debts!$C$9/12,0)+IF(E90&gt;0,E90*Debts!$C$10/12,0)+IF(F90&gt;0,F90*Debts!$C$11/12,0)+IF(G90&gt;0,G90*Debts!$C$12/12,0)+IF(H90&gt;0,H90*Debts!$C$13/12,0)+IF(I90&gt;0,I90*Debts!$C$14/12,0)+IF(J90&gt;0,J90*Debts!$C$15/12,0)</f>
        <v>0</v>
      </c>
      <c r="L91" s="22" t="n">
        <f aca="false">SUM(C91:J91)</f>
        <v>0</v>
      </c>
    </row>
    <row r="92" customFormat="false" ht="15" hidden="false" customHeight="false" outlineLevel="0" collapsed="false">
      <c r="A92" s="19" t="n">
        <f aca="false">85</f>
        <v>85</v>
      </c>
      <c r="B92" s="27" t="n">
        <f aca="false">IF(L91&lt;=0,0,Debts!$D$16+Debts!$B$4)</f>
        <v>0</v>
      </c>
      <c r="C92" s="22" t="n">
        <f aca="false">IF(C91&lt;=0,0,MAX(0,C91*(1+Debts!$C$8/12)-MIN(C91*(1+Debts!$C$8/12),Debts!$D$8)-IF(AND(C91&gt;0,Debts!$E$8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D92" s="22" t="n">
        <f aca="false">IF(D91&lt;=0,0,MAX(0,D91*(1+Debts!$C$9/12)-MIN(D91*(1+Debts!$C$9/12),Debts!$D$9)-IF(AND(D91&gt;0,Debts!$E$9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E92" s="22" t="n">
        <f aca="false">IF(E91&lt;=0,0,MAX(0,E91*(1+Debts!$C$10/12)-MIN(E91*(1+Debts!$C$10/12),Debts!$D$10)-IF(AND(E91&gt;0,Debts!$E$10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F92" s="22" t="n">
        <f aca="false">IF(F91&lt;=0,0,MAX(0,F91*(1+Debts!$C$11/12)-MIN(F91*(1+Debts!$C$11/12),Debts!$D$11)-IF(AND(F91&gt;0,Debts!$E$11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G92" s="22" t="n">
        <f aca="false">IF(G91&lt;=0,0,MAX(0,G91*(1+Debts!$C$12/12)-MIN(G91*(1+Debts!$C$12/12),Debts!$D$12)-IF(AND(G91&gt;0,Debts!$E$12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H92" s="22" t="n">
        <f aca="false">IF(H91&lt;=0,0,MAX(0,H91*(1+Debts!$C$13/12)-MIN(H91*(1+Debts!$C$13/12),Debts!$D$13)-IF(AND(H91&gt;0,Debts!$E$13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I92" s="22" t="n">
        <f aca="false">IF(I91&lt;=0,0,MAX(0,I91*(1+Debts!$C$14/12)-MIN(I91*(1+Debts!$C$14/12),Debts!$D$14)-IF(AND(I91&gt;0,Debts!$E$14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J92" s="22" t="n">
        <f aca="false">IF(J91&lt;=0,0,MAX(0,J91*(1+Debts!$C$15/12)-MIN(J91*(1+Debts!$C$15/12),Debts!$D$15)-IF(AND(J91&gt;0,Debts!$E$15=MIN(IF(C91&gt;0,Debts!$E$8,999),IF(D91&gt;0,Debts!$E$9,999),IF(E91&gt;0,Debts!$E$10,999),IF(F91&gt;0,Debts!$E$11,999),IF(G91&gt;0,Debts!$E$12,999),IF(H91&gt;0,Debts!$E$13,999),IF(I91&gt;0,Debts!$E$14,999),IF(J91&gt;0,Debts!$E$15,999))),MAX(0,(B92-(MIN(C91+0,C91*(1+Debts!$C$8/12))*0+MIN(C91*(1+Debts!$C$8/12),Debts!$D$8)+MIN(C91+0,D91*(1+Debts!$C$9/12))*0+MIN(D91*(1+Debts!$C$9/12),Debts!$D$9)+MIN(C91+0,E91*(1+Debts!$C$10/12))*0+MIN(E91*(1+Debts!$C$10/12),Debts!$D$10)+MIN(C91+0,F91*(1+Debts!$C$11/12))*0+MIN(F91*(1+Debts!$C$11/12),Debts!$D$11)+MIN(C91+0,G91*(1+Debts!$C$12/12))*0+MIN(G91*(1+Debts!$C$12/12),Debts!$D$12)+MIN(C91+0,H91*(1+Debts!$C$13/12))*0+MIN(H91*(1+Debts!$C$13/12),Debts!$D$13)+MIN(C91+0,I91*(1+Debts!$C$14/12))*0+MIN(I91*(1+Debts!$C$14/12),Debts!$D$14)+MIN(C91+0,J91*(1+Debts!$C$15/12))*0+MIN(J91*(1+Debts!$C$15/12),Debts!$D$15)))),0)))</f>
        <v>0</v>
      </c>
      <c r="K92" s="22" t="n">
        <f aca="false">IF(C91&gt;0,C91*Debts!$C$8/12,0)+IF(D91&gt;0,D91*Debts!$C$9/12,0)+IF(E91&gt;0,E91*Debts!$C$10/12,0)+IF(F91&gt;0,F91*Debts!$C$11/12,0)+IF(G91&gt;0,G91*Debts!$C$12/12,0)+IF(H91&gt;0,H91*Debts!$C$13/12,0)+IF(I91&gt;0,I91*Debts!$C$14/12,0)+IF(J91&gt;0,J91*Debts!$C$15/12,0)</f>
        <v>0</v>
      </c>
      <c r="L92" s="22" t="n">
        <f aca="false">SUM(C92:J92)</f>
        <v>0</v>
      </c>
    </row>
    <row r="93" customFormat="false" ht="15" hidden="false" customHeight="false" outlineLevel="0" collapsed="false">
      <c r="A93" s="19" t="n">
        <f aca="false">86</f>
        <v>86</v>
      </c>
      <c r="B93" s="27" t="n">
        <f aca="false">IF(L92&lt;=0,0,Debts!$D$16+Debts!$B$4)</f>
        <v>0</v>
      </c>
      <c r="C93" s="22" t="n">
        <f aca="false">IF(C92&lt;=0,0,MAX(0,C92*(1+Debts!$C$8/12)-MIN(C92*(1+Debts!$C$8/12),Debts!$D$8)-IF(AND(C92&gt;0,Debts!$E$8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D93" s="22" t="n">
        <f aca="false">IF(D92&lt;=0,0,MAX(0,D92*(1+Debts!$C$9/12)-MIN(D92*(1+Debts!$C$9/12),Debts!$D$9)-IF(AND(D92&gt;0,Debts!$E$9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E93" s="22" t="n">
        <f aca="false">IF(E92&lt;=0,0,MAX(0,E92*(1+Debts!$C$10/12)-MIN(E92*(1+Debts!$C$10/12),Debts!$D$10)-IF(AND(E92&gt;0,Debts!$E$10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F93" s="22" t="n">
        <f aca="false">IF(F92&lt;=0,0,MAX(0,F92*(1+Debts!$C$11/12)-MIN(F92*(1+Debts!$C$11/12),Debts!$D$11)-IF(AND(F92&gt;0,Debts!$E$11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G93" s="22" t="n">
        <f aca="false">IF(G92&lt;=0,0,MAX(0,G92*(1+Debts!$C$12/12)-MIN(G92*(1+Debts!$C$12/12),Debts!$D$12)-IF(AND(G92&gt;0,Debts!$E$12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H93" s="22" t="n">
        <f aca="false">IF(H92&lt;=0,0,MAX(0,H92*(1+Debts!$C$13/12)-MIN(H92*(1+Debts!$C$13/12),Debts!$D$13)-IF(AND(H92&gt;0,Debts!$E$13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I93" s="22" t="n">
        <f aca="false">IF(I92&lt;=0,0,MAX(0,I92*(1+Debts!$C$14/12)-MIN(I92*(1+Debts!$C$14/12),Debts!$D$14)-IF(AND(I92&gt;0,Debts!$E$14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J93" s="22" t="n">
        <f aca="false">IF(J92&lt;=0,0,MAX(0,J92*(1+Debts!$C$15/12)-MIN(J92*(1+Debts!$C$15/12),Debts!$D$15)-IF(AND(J92&gt;0,Debts!$E$15=MIN(IF(C92&gt;0,Debts!$E$8,999),IF(D92&gt;0,Debts!$E$9,999),IF(E92&gt;0,Debts!$E$10,999),IF(F92&gt;0,Debts!$E$11,999),IF(G92&gt;0,Debts!$E$12,999),IF(H92&gt;0,Debts!$E$13,999),IF(I92&gt;0,Debts!$E$14,999),IF(J92&gt;0,Debts!$E$15,999))),MAX(0,(B93-(MIN(C92+0,C92*(1+Debts!$C$8/12))*0+MIN(C92*(1+Debts!$C$8/12),Debts!$D$8)+MIN(C92+0,D92*(1+Debts!$C$9/12))*0+MIN(D92*(1+Debts!$C$9/12),Debts!$D$9)+MIN(C92+0,E92*(1+Debts!$C$10/12))*0+MIN(E92*(1+Debts!$C$10/12),Debts!$D$10)+MIN(C92+0,F92*(1+Debts!$C$11/12))*0+MIN(F92*(1+Debts!$C$11/12),Debts!$D$11)+MIN(C92+0,G92*(1+Debts!$C$12/12))*0+MIN(G92*(1+Debts!$C$12/12),Debts!$D$12)+MIN(C92+0,H92*(1+Debts!$C$13/12))*0+MIN(H92*(1+Debts!$C$13/12),Debts!$D$13)+MIN(C92+0,I92*(1+Debts!$C$14/12))*0+MIN(I92*(1+Debts!$C$14/12),Debts!$D$14)+MIN(C92+0,J92*(1+Debts!$C$15/12))*0+MIN(J92*(1+Debts!$C$15/12),Debts!$D$15)))),0)))</f>
        <v>0</v>
      </c>
      <c r="K93" s="22" t="n">
        <f aca="false">IF(C92&gt;0,C92*Debts!$C$8/12,0)+IF(D92&gt;0,D92*Debts!$C$9/12,0)+IF(E92&gt;0,E92*Debts!$C$10/12,0)+IF(F92&gt;0,F92*Debts!$C$11/12,0)+IF(G92&gt;0,G92*Debts!$C$12/12,0)+IF(H92&gt;0,H92*Debts!$C$13/12,0)+IF(I92&gt;0,I92*Debts!$C$14/12,0)+IF(J92&gt;0,J92*Debts!$C$15/12,0)</f>
        <v>0</v>
      </c>
      <c r="L93" s="22" t="n">
        <f aca="false">SUM(C93:J93)</f>
        <v>0</v>
      </c>
    </row>
    <row r="94" customFormat="false" ht="15" hidden="false" customHeight="false" outlineLevel="0" collapsed="false">
      <c r="A94" s="19" t="n">
        <f aca="false">87</f>
        <v>87</v>
      </c>
      <c r="B94" s="27" t="n">
        <f aca="false">IF(L93&lt;=0,0,Debts!$D$16+Debts!$B$4)</f>
        <v>0</v>
      </c>
      <c r="C94" s="22" t="n">
        <f aca="false">IF(C93&lt;=0,0,MAX(0,C93*(1+Debts!$C$8/12)-MIN(C93*(1+Debts!$C$8/12),Debts!$D$8)-IF(AND(C93&gt;0,Debts!$E$8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D94" s="22" t="n">
        <f aca="false">IF(D93&lt;=0,0,MAX(0,D93*(1+Debts!$C$9/12)-MIN(D93*(1+Debts!$C$9/12),Debts!$D$9)-IF(AND(D93&gt;0,Debts!$E$9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E94" s="22" t="n">
        <f aca="false">IF(E93&lt;=0,0,MAX(0,E93*(1+Debts!$C$10/12)-MIN(E93*(1+Debts!$C$10/12),Debts!$D$10)-IF(AND(E93&gt;0,Debts!$E$10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F94" s="22" t="n">
        <f aca="false">IF(F93&lt;=0,0,MAX(0,F93*(1+Debts!$C$11/12)-MIN(F93*(1+Debts!$C$11/12),Debts!$D$11)-IF(AND(F93&gt;0,Debts!$E$11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G94" s="22" t="n">
        <f aca="false">IF(G93&lt;=0,0,MAX(0,G93*(1+Debts!$C$12/12)-MIN(G93*(1+Debts!$C$12/12),Debts!$D$12)-IF(AND(G93&gt;0,Debts!$E$12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H94" s="22" t="n">
        <f aca="false">IF(H93&lt;=0,0,MAX(0,H93*(1+Debts!$C$13/12)-MIN(H93*(1+Debts!$C$13/12),Debts!$D$13)-IF(AND(H93&gt;0,Debts!$E$13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I94" s="22" t="n">
        <f aca="false">IF(I93&lt;=0,0,MAX(0,I93*(1+Debts!$C$14/12)-MIN(I93*(1+Debts!$C$14/12),Debts!$D$14)-IF(AND(I93&gt;0,Debts!$E$14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J94" s="22" t="n">
        <f aca="false">IF(J93&lt;=0,0,MAX(0,J93*(1+Debts!$C$15/12)-MIN(J93*(1+Debts!$C$15/12),Debts!$D$15)-IF(AND(J93&gt;0,Debts!$E$15=MIN(IF(C93&gt;0,Debts!$E$8,999),IF(D93&gt;0,Debts!$E$9,999),IF(E93&gt;0,Debts!$E$10,999),IF(F93&gt;0,Debts!$E$11,999),IF(G93&gt;0,Debts!$E$12,999),IF(H93&gt;0,Debts!$E$13,999),IF(I93&gt;0,Debts!$E$14,999),IF(J93&gt;0,Debts!$E$15,999))),MAX(0,(B94-(MIN(C93+0,C93*(1+Debts!$C$8/12))*0+MIN(C93*(1+Debts!$C$8/12),Debts!$D$8)+MIN(C93+0,D93*(1+Debts!$C$9/12))*0+MIN(D93*(1+Debts!$C$9/12),Debts!$D$9)+MIN(C93+0,E93*(1+Debts!$C$10/12))*0+MIN(E93*(1+Debts!$C$10/12),Debts!$D$10)+MIN(C93+0,F93*(1+Debts!$C$11/12))*0+MIN(F93*(1+Debts!$C$11/12),Debts!$D$11)+MIN(C93+0,G93*(1+Debts!$C$12/12))*0+MIN(G93*(1+Debts!$C$12/12),Debts!$D$12)+MIN(C93+0,H93*(1+Debts!$C$13/12))*0+MIN(H93*(1+Debts!$C$13/12),Debts!$D$13)+MIN(C93+0,I93*(1+Debts!$C$14/12))*0+MIN(I93*(1+Debts!$C$14/12),Debts!$D$14)+MIN(C93+0,J93*(1+Debts!$C$15/12))*0+MIN(J93*(1+Debts!$C$15/12),Debts!$D$15)))),0)))</f>
        <v>0</v>
      </c>
      <c r="K94" s="22" t="n">
        <f aca="false">IF(C93&gt;0,C93*Debts!$C$8/12,0)+IF(D93&gt;0,D93*Debts!$C$9/12,0)+IF(E93&gt;0,E93*Debts!$C$10/12,0)+IF(F93&gt;0,F93*Debts!$C$11/12,0)+IF(G93&gt;0,G93*Debts!$C$12/12,0)+IF(H93&gt;0,H93*Debts!$C$13/12,0)+IF(I93&gt;0,I93*Debts!$C$14/12,0)+IF(J93&gt;0,J93*Debts!$C$15/12,0)</f>
        <v>0</v>
      </c>
      <c r="L94" s="22" t="n">
        <f aca="false">SUM(C94:J94)</f>
        <v>0</v>
      </c>
    </row>
    <row r="95" customFormat="false" ht="15" hidden="false" customHeight="false" outlineLevel="0" collapsed="false">
      <c r="A95" s="19" t="n">
        <f aca="false">88</f>
        <v>88</v>
      </c>
      <c r="B95" s="27" t="n">
        <f aca="false">IF(L94&lt;=0,0,Debts!$D$16+Debts!$B$4)</f>
        <v>0</v>
      </c>
      <c r="C95" s="22" t="n">
        <f aca="false">IF(C94&lt;=0,0,MAX(0,C94*(1+Debts!$C$8/12)-MIN(C94*(1+Debts!$C$8/12),Debts!$D$8)-IF(AND(C94&gt;0,Debts!$E$8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D95" s="22" t="n">
        <f aca="false">IF(D94&lt;=0,0,MAX(0,D94*(1+Debts!$C$9/12)-MIN(D94*(1+Debts!$C$9/12),Debts!$D$9)-IF(AND(D94&gt;0,Debts!$E$9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E95" s="22" t="n">
        <f aca="false">IF(E94&lt;=0,0,MAX(0,E94*(1+Debts!$C$10/12)-MIN(E94*(1+Debts!$C$10/12),Debts!$D$10)-IF(AND(E94&gt;0,Debts!$E$10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F95" s="22" t="n">
        <f aca="false">IF(F94&lt;=0,0,MAX(0,F94*(1+Debts!$C$11/12)-MIN(F94*(1+Debts!$C$11/12),Debts!$D$11)-IF(AND(F94&gt;0,Debts!$E$11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G95" s="22" t="n">
        <f aca="false">IF(G94&lt;=0,0,MAX(0,G94*(1+Debts!$C$12/12)-MIN(G94*(1+Debts!$C$12/12),Debts!$D$12)-IF(AND(G94&gt;0,Debts!$E$12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H95" s="22" t="n">
        <f aca="false">IF(H94&lt;=0,0,MAX(0,H94*(1+Debts!$C$13/12)-MIN(H94*(1+Debts!$C$13/12),Debts!$D$13)-IF(AND(H94&gt;0,Debts!$E$13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I95" s="22" t="n">
        <f aca="false">IF(I94&lt;=0,0,MAX(0,I94*(1+Debts!$C$14/12)-MIN(I94*(1+Debts!$C$14/12),Debts!$D$14)-IF(AND(I94&gt;0,Debts!$E$14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J95" s="22" t="n">
        <f aca="false">IF(J94&lt;=0,0,MAX(0,J94*(1+Debts!$C$15/12)-MIN(J94*(1+Debts!$C$15/12),Debts!$D$15)-IF(AND(J94&gt;0,Debts!$E$15=MIN(IF(C94&gt;0,Debts!$E$8,999),IF(D94&gt;0,Debts!$E$9,999),IF(E94&gt;0,Debts!$E$10,999),IF(F94&gt;0,Debts!$E$11,999),IF(G94&gt;0,Debts!$E$12,999),IF(H94&gt;0,Debts!$E$13,999),IF(I94&gt;0,Debts!$E$14,999),IF(J94&gt;0,Debts!$E$15,999))),MAX(0,(B95-(MIN(C94+0,C94*(1+Debts!$C$8/12))*0+MIN(C94*(1+Debts!$C$8/12),Debts!$D$8)+MIN(C94+0,D94*(1+Debts!$C$9/12))*0+MIN(D94*(1+Debts!$C$9/12),Debts!$D$9)+MIN(C94+0,E94*(1+Debts!$C$10/12))*0+MIN(E94*(1+Debts!$C$10/12),Debts!$D$10)+MIN(C94+0,F94*(1+Debts!$C$11/12))*0+MIN(F94*(1+Debts!$C$11/12),Debts!$D$11)+MIN(C94+0,G94*(1+Debts!$C$12/12))*0+MIN(G94*(1+Debts!$C$12/12),Debts!$D$12)+MIN(C94+0,H94*(1+Debts!$C$13/12))*0+MIN(H94*(1+Debts!$C$13/12),Debts!$D$13)+MIN(C94+0,I94*(1+Debts!$C$14/12))*0+MIN(I94*(1+Debts!$C$14/12),Debts!$D$14)+MIN(C94+0,J94*(1+Debts!$C$15/12))*0+MIN(J94*(1+Debts!$C$15/12),Debts!$D$15)))),0)))</f>
        <v>0</v>
      </c>
      <c r="K95" s="22" t="n">
        <f aca="false">IF(C94&gt;0,C94*Debts!$C$8/12,0)+IF(D94&gt;0,D94*Debts!$C$9/12,0)+IF(E94&gt;0,E94*Debts!$C$10/12,0)+IF(F94&gt;0,F94*Debts!$C$11/12,0)+IF(G94&gt;0,G94*Debts!$C$12/12,0)+IF(H94&gt;0,H94*Debts!$C$13/12,0)+IF(I94&gt;0,I94*Debts!$C$14/12,0)+IF(J94&gt;0,J94*Debts!$C$15/12,0)</f>
        <v>0</v>
      </c>
      <c r="L95" s="22" t="n">
        <f aca="false">SUM(C95:J95)</f>
        <v>0</v>
      </c>
    </row>
    <row r="96" customFormat="false" ht="15" hidden="false" customHeight="false" outlineLevel="0" collapsed="false">
      <c r="A96" s="19" t="n">
        <f aca="false">89</f>
        <v>89</v>
      </c>
      <c r="B96" s="27" t="n">
        <f aca="false">IF(L95&lt;=0,0,Debts!$D$16+Debts!$B$4)</f>
        <v>0</v>
      </c>
      <c r="C96" s="22" t="n">
        <f aca="false">IF(C95&lt;=0,0,MAX(0,C95*(1+Debts!$C$8/12)-MIN(C95*(1+Debts!$C$8/12),Debts!$D$8)-IF(AND(C95&gt;0,Debts!$E$8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D96" s="22" t="n">
        <f aca="false">IF(D95&lt;=0,0,MAX(0,D95*(1+Debts!$C$9/12)-MIN(D95*(1+Debts!$C$9/12),Debts!$D$9)-IF(AND(D95&gt;0,Debts!$E$9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E96" s="22" t="n">
        <f aca="false">IF(E95&lt;=0,0,MAX(0,E95*(1+Debts!$C$10/12)-MIN(E95*(1+Debts!$C$10/12),Debts!$D$10)-IF(AND(E95&gt;0,Debts!$E$10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F96" s="22" t="n">
        <f aca="false">IF(F95&lt;=0,0,MAX(0,F95*(1+Debts!$C$11/12)-MIN(F95*(1+Debts!$C$11/12),Debts!$D$11)-IF(AND(F95&gt;0,Debts!$E$11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G96" s="22" t="n">
        <f aca="false">IF(G95&lt;=0,0,MAX(0,G95*(1+Debts!$C$12/12)-MIN(G95*(1+Debts!$C$12/12),Debts!$D$12)-IF(AND(G95&gt;0,Debts!$E$12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H96" s="22" t="n">
        <f aca="false">IF(H95&lt;=0,0,MAX(0,H95*(1+Debts!$C$13/12)-MIN(H95*(1+Debts!$C$13/12),Debts!$D$13)-IF(AND(H95&gt;0,Debts!$E$13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I96" s="22" t="n">
        <f aca="false">IF(I95&lt;=0,0,MAX(0,I95*(1+Debts!$C$14/12)-MIN(I95*(1+Debts!$C$14/12),Debts!$D$14)-IF(AND(I95&gt;0,Debts!$E$14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J96" s="22" t="n">
        <f aca="false">IF(J95&lt;=0,0,MAX(0,J95*(1+Debts!$C$15/12)-MIN(J95*(1+Debts!$C$15/12),Debts!$D$15)-IF(AND(J95&gt;0,Debts!$E$15=MIN(IF(C95&gt;0,Debts!$E$8,999),IF(D95&gt;0,Debts!$E$9,999),IF(E95&gt;0,Debts!$E$10,999),IF(F95&gt;0,Debts!$E$11,999),IF(G95&gt;0,Debts!$E$12,999),IF(H95&gt;0,Debts!$E$13,999),IF(I95&gt;0,Debts!$E$14,999),IF(J95&gt;0,Debts!$E$15,999))),MAX(0,(B96-(MIN(C95+0,C95*(1+Debts!$C$8/12))*0+MIN(C95*(1+Debts!$C$8/12),Debts!$D$8)+MIN(C95+0,D95*(1+Debts!$C$9/12))*0+MIN(D95*(1+Debts!$C$9/12),Debts!$D$9)+MIN(C95+0,E95*(1+Debts!$C$10/12))*0+MIN(E95*(1+Debts!$C$10/12),Debts!$D$10)+MIN(C95+0,F95*(1+Debts!$C$11/12))*0+MIN(F95*(1+Debts!$C$11/12),Debts!$D$11)+MIN(C95+0,G95*(1+Debts!$C$12/12))*0+MIN(G95*(1+Debts!$C$12/12),Debts!$D$12)+MIN(C95+0,H95*(1+Debts!$C$13/12))*0+MIN(H95*(1+Debts!$C$13/12),Debts!$D$13)+MIN(C95+0,I95*(1+Debts!$C$14/12))*0+MIN(I95*(1+Debts!$C$14/12),Debts!$D$14)+MIN(C95+0,J95*(1+Debts!$C$15/12))*0+MIN(J95*(1+Debts!$C$15/12),Debts!$D$15)))),0)))</f>
        <v>0</v>
      </c>
      <c r="K96" s="22" t="n">
        <f aca="false">IF(C95&gt;0,C95*Debts!$C$8/12,0)+IF(D95&gt;0,D95*Debts!$C$9/12,0)+IF(E95&gt;0,E95*Debts!$C$10/12,0)+IF(F95&gt;0,F95*Debts!$C$11/12,0)+IF(G95&gt;0,G95*Debts!$C$12/12,0)+IF(H95&gt;0,H95*Debts!$C$13/12,0)+IF(I95&gt;0,I95*Debts!$C$14/12,0)+IF(J95&gt;0,J95*Debts!$C$15/12,0)</f>
        <v>0</v>
      </c>
      <c r="L96" s="22" t="n">
        <f aca="false">SUM(C96:J96)</f>
        <v>0</v>
      </c>
    </row>
    <row r="97" customFormat="false" ht="15" hidden="false" customHeight="false" outlineLevel="0" collapsed="false">
      <c r="A97" s="19" t="n">
        <f aca="false">90</f>
        <v>90</v>
      </c>
      <c r="B97" s="27" t="n">
        <f aca="false">IF(L96&lt;=0,0,Debts!$D$16+Debts!$B$4)</f>
        <v>0</v>
      </c>
      <c r="C97" s="22" t="n">
        <f aca="false">IF(C96&lt;=0,0,MAX(0,C96*(1+Debts!$C$8/12)-MIN(C96*(1+Debts!$C$8/12),Debts!$D$8)-IF(AND(C96&gt;0,Debts!$E$8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D97" s="22" t="n">
        <f aca="false">IF(D96&lt;=0,0,MAX(0,D96*(1+Debts!$C$9/12)-MIN(D96*(1+Debts!$C$9/12),Debts!$D$9)-IF(AND(D96&gt;0,Debts!$E$9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E97" s="22" t="n">
        <f aca="false">IF(E96&lt;=0,0,MAX(0,E96*(1+Debts!$C$10/12)-MIN(E96*(1+Debts!$C$10/12),Debts!$D$10)-IF(AND(E96&gt;0,Debts!$E$10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F97" s="22" t="n">
        <f aca="false">IF(F96&lt;=0,0,MAX(0,F96*(1+Debts!$C$11/12)-MIN(F96*(1+Debts!$C$11/12),Debts!$D$11)-IF(AND(F96&gt;0,Debts!$E$11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G97" s="22" t="n">
        <f aca="false">IF(G96&lt;=0,0,MAX(0,G96*(1+Debts!$C$12/12)-MIN(G96*(1+Debts!$C$12/12),Debts!$D$12)-IF(AND(G96&gt;0,Debts!$E$12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H97" s="22" t="n">
        <f aca="false">IF(H96&lt;=0,0,MAX(0,H96*(1+Debts!$C$13/12)-MIN(H96*(1+Debts!$C$13/12),Debts!$D$13)-IF(AND(H96&gt;0,Debts!$E$13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I97" s="22" t="n">
        <f aca="false">IF(I96&lt;=0,0,MAX(0,I96*(1+Debts!$C$14/12)-MIN(I96*(1+Debts!$C$14/12),Debts!$D$14)-IF(AND(I96&gt;0,Debts!$E$14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J97" s="22" t="n">
        <f aca="false">IF(J96&lt;=0,0,MAX(0,J96*(1+Debts!$C$15/12)-MIN(J96*(1+Debts!$C$15/12),Debts!$D$15)-IF(AND(J96&gt;0,Debts!$E$15=MIN(IF(C96&gt;0,Debts!$E$8,999),IF(D96&gt;0,Debts!$E$9,999),IF(E96&gt;0,Debts!$E$10,999),IF(F96&gt;0,Debts!$E$11,999),IF(G96&gt;0,Debts!$E$12,999),IF(H96&gt;0,Debts!$E$13,999),IF(I96&gt;0,Debts!$E$14,999),IF(J96&gt;0,Debts!$E$15,999))),MAX(0,(B97-(MIN(C96+0,C96*(1+Debts!$C$8/12))*0+MIN(C96*(1+Debts!$C$8/12),Debts!$D$8)+MIN(C96+0,D96*(1+Debts!$C$9/12))*0+MIN(D96*(1+Debts!$C$9/12),Debts!$D$9)+MIN(C96+0,E96*(1+Debts!$C$10/12))*0+MIN(E96*(1+Debts!$C$10/12),Debts!$D$10)+MIN(C96+0,F96*(1+Debts!$C$11/12))*0+MIN(F96*(1+Debts!$C$11/12),Debts!$D$11)+MIN(C96+0,G96*(1+Debts!$C$12/12))*0+MIN(G96*(1+Debts!$C$12/12),Debts!$D$12)+MIN(C96+0,H96*(1+Debts!$C$13/12))*0+MIN(H96*(1+Debts!$C$13/12),Debts!$D$13)+MIN(C96+0,I96*(1+Debts!$C$14/12))*0+MIN(I96*(1+Debts!$C$14/12),Debts!$D$14)+MIN(C96+0,J96*(1+Debts!$C$15/12))*0+MIN(J96*(1+Debts!$C$15/12),Debts!$D$15)))),0)))</f>
        <v>0</v>
      </c>
      <c r="K97" s="22" t="n">
        <f aca="false">IF(C96&gt;0,C96*Debts!$C$8/12,0)+IF(D96&gt;0,D96*Debts!$C$9/12,0)+IF(E96&gt;0,E96*Debts!$C$10/12,0)+IF(F96&gt;0,F96*Debts!$C$11/12,0)+IF(G96&gt;0,G96*Debts!$C$12/12,0)+IF(H96&gt;0,H96*Debts!$C$13/12,0)+IF(I96&gt;0,I96*Debts!$C$14/12,0)+IF(J96&gt;0,J96*Debts!$C$15/12,0)</f>
        <v>0</v>
      </c>
      <c r="L97" s="22" t="n">
        <f aca="false">SUM(C97:J97)</f>
        <v>0</v>
      </c>
    </row>
    <row r="98" customFormat="false" ht="15" hidden="false" customHeight="false" outlineLevel="0" collapsed="false">
      <c r="A98" s="19" t="n">
        <f aca="false">91</f>
        <v>91</v>
      </c>
      <c r="B98" s="27" t="n">
        <f aca="false">IF(L97&lt;=0,0,Debts!$D$16+Debts!$B$4)</f>
        <v>0</v>
      </c>
      <c r="C98" s="22" t="n">
        <f aca="false">IF(C97&lt;=0,0,MAX(0,C97*(1+Debts!$C$8/12)-MIN(C97*(1+Debts!$C$8/12),Debts!$D$8)-IF(AND(C97&gt;0,Debts!$E$8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D98" s="22" t="n">
        <f aca="false">IF(D97&lt;=0,0,MAX(0,D97*(1+Debts!$C$9/12)-MIN(D97*(1+Debts!$C$9/12),Debts!$D$9)-IF(AND(D97&gt;0,Debts!$E$9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E98" s="22" t="n">
        <f aca="false">IF(E97&lt;=0,0,MAX(0,E97*(1+Debts!$C$10/12)-MIN(E97*(1+Debts!$C$10/12),Debts!$D$10)-IF(AND(E97&gt;0,Debts!$E$10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F98" s="22" t="n">
        <f aca="false">IF(F97&lt;=0,0,MAX(0,F97*(1+Debts!$C$11/12)-MIN(F97*(1+Debts!$C$11/12),Debts!$D$11)-IF(AND(F97&gt;0,Debts!$E$11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G98" s="22" t="n">
        <f aca="false">IF(G97&lt;=0,0,MAX(0,G97*(1+Debts!$C$12/12)-MIN(G97*(1+Debts!$C$12/12),Debts!$D$12)-IF(AND(G97&gt;0,Debts!$E$12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H98" s="22" t="n">
        <f aca="false">IF(H97&lt;=0,0,MAX(0,H97*(1+Debts!$C$13/12)-MIN(H97*(1+Debts!$C$13/12),Debts!$D$13)-IF(AND(H97&gt;0,Debts!$E$13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I98" s="22" t="n">
        <f aca="false">IF(I97&lt;=0,0,MAX(0,I97*(1+Debts!$C$14/12)-MIN(I97*(1+Debts!$C$14/12),Debts!$D$14)-IF(AND(I97&gt;0,Debts!$E$14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J98" s="22" t="n">
        <f aca="false">IF(J97&lt;=0,0,MAX(0,J97*(1+Debts!$C$15/12)-MIN(J97*(1+Debts!$C$15/12),Debts!$D$15)-IF(AND(J97&gt;0,Debts!$E$15=MIN(IF(C97&gt;0,Debts!$E$8,999),IF(D97&gt;0,Debts!$E$9,999),IF(E97&gt;0,Debts!$E$10,999),IF(F97&gt;0,Debts!$E$11,999),IF(G97&gt;0,Debts!$E$12,999),IF(H97&gt;0,Debts!$E$13,999),IF(I97&gt;0,Debts!$E$14,999),IF(J97&gt;0,Debts!$E$15,999))),MAX(0,(B98-(MIN(C97+0,C97*(1+Debts!$C$8/12))*0+MIN(C97*(1+Debts!$C$8/12),Debts!$D$8)+MIN(C97+0,D97*(1+Debts!$C$9/12))*0+MIN(D97*(1+Debts!$C$9/12),Debts!$D$9)+MIN(C97+0,E97*(1+Debts!$C$10/12))*0+MIN(E97*(1+Debts!$C$10/12),Debts!$D$10)+MIN(C97+0,F97*(1+Debts!$C$11/12))*0+MIN(F97*(1+Debts!$C$11/12),Debts!$D$11)+MIN(C97+0,G97*(1+Debts!$C$12/12))*0+MIN(G97*(1+Debts!$C$12/12),Debts!$D$12)+MIN(C97+0,H97*(1+Debts!$C$13/12))*0+MIN(H97*(1+Debts!$C$13/12),Debts!$D$13)+MIN(C97+0,I97*(1+Debts!$C$14/12))*0+MIN(I97*(1+Debts!$C$14/12),Debts!$D$14)+MIN(C97+0,J97*(1+Debts!$C$15/12))*0+MIN(J97*(1+Debts!$C$15/12),Debts!$D$15)))),0)))</f>
        <v>0</v>
      </c>
      <c r="K98" s="22" t="n">
        <f aca="false">IF(C97&gt;0,C97*Debts!$C$8/12,0)+IF(D97&gt;0,D97*Debts!$C$9/12,0)+IF(E97&gt;0,E97*Debts!$C$10/12,0)+IF(F97&gt;0,F97*Debts!$C$11/12,0)+IF(G97&gt;0,G97*Debts!$C$12/12,0)+IF(H97&gt;0,H97*Debts!$C$13/12,0)+IF(I97&gt;0,I97*Debts!$C$14/12,0)+IF(J97&gt;0,J97*Debts!$C$15/12,0)</f>
        <v>0</v>
      </c>
      <c r="L98" s="22" t="n">
        <f aca="false">SUM(C98:J98)</f>
        <v>0</v>
      </c>
    </row>
    <row r="99" customFormat="false" ht="15" hidden="false" customHeight="false" outlineLevel="0" collapsed="false">
      <c r="A99" s="19" t="n">
        <f aca="false">92</f>
        <v>92</v>
      </c>
      <c r="B99" s="27" t="n">
        <f aca="false">IF(L98&lt;=0,0,Debts!$D$16+Debts!$B$4)</f>
        <v>0</v>
      </c>
      <c r="C99" s="22" t="n">
        <f aca="false">IF(C98&lt;=0,0,MAX(0,C98*(1+Debts!$C$8/12)-MIN(C98*(1+Debts!$C$8/12),Debts!$D$8)-IF(AND(C98&gt;0,Debts!$E$8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D99" s="22" t="n">
        <f aca="false">IF(D98&lt;=0,0,MAX(0,D98*(1+Debts!$C$9/12)-MIN(D98*(1+Debts!$C$9/12),Debts!$D$9)-IF(AND(D98&gt;0,Debts!$E$9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E99" s="22" t="n">
        <f aca="false">IF(E98&lt;=0,0,MAX(0,E98*(1+Debts!$C$10/12)-MIN(E98*(1+Debts!$C$10/12),Debts!$D$10)-IF(AND(E98&gt;0,Debts!$E$10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F99" s="22" t="n">
        <f aca="false">IF(F98&lt;=0,0,MAX(0,F98*(1+Debts!$C$11/12)-MIN(F98*(1+Debts!$C$11/12),Debts!$D$11)-IF(AND(F98&gt;0,Debts!$E$11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G99" s="22" t="n">
        <f aca="false">IF(G98&lt;=0,0,MAX(0,G98*(1+Debts!$C$12/12)-MIN(G98*(1+Debts!$C$12/12),Debts!$D$12)-IF(AND(G98&gt;0,Debts!$E$12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H99" s="22" t="n">
        <f aca="false">IF(H98&lt;=0,0,MAX(0,H98*(1+Debts!$C$13/12)-MIN(H98*(1+Debts!$C$13/12),Debts!$D$13)-IF(AND(H98&gt;0,Debts!$E$13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I99" s="22" t="n">
        <f aca="false">IF(I98&lt;=0,0,MAX(0,I98*(1+Debts!$C$14/12)-MIN(I98*(1+Debts!$C$14/12),Debts!$D$14)-IF(AND(I98&gt;0,Debts!$E$14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J99" s="22" t="n">
        <f aca="false">IF(J98&lt;=0,0,MAX(0,J98*(1+Debts!$C$15/12)-MIN(J98*(1+Debts!$C$15/12),Debts!$D$15)-IF(AND(J98&gt;0,Debts!$E$15=MIN(IF(C98&gt;0,Debts!$E$8,999),IF(D98&gt;0,Debts!$E$9,999),IF(E98&gt;0,Debts!$E$10,999),IF(F98&gt;0,Debts!$E$11,999),IF(G98&gt;0,Debts!$E$12,999),IF(H98&gt;0,Debts!$E$13,999),IF(I98&gt;0,Debts!$E$14,999),IF(J98&gt;0,Debts!$E$15,999))),MAX(0,(B99-(MIN(C98+0,C98*(1+Debts!$C$8/12))*0+MIN(C98*(1+Debts!$C$8/12),Debts!$D$8)+MIN(C98+0,D98*(1+Debts!$C$9/12))*0+MIN(D98*(1+Debts!$C$9/12),Debts!$D$9)+MIN(C98+0,E98*(1+Debts!$C$10/12))*0+MIN(E98*(1+Debts!$C$10/12),Debts!$D$10)+MIN(C98+0,F98*(1+Debts!$C$11/12))*0+MIN(F98*(1+Debts!$C$11/12),Debts!$D$11)+MIN(C98+0,G98*(1+Debts!$C$12/12))*0+MIN(G98*(1+Debts!$C$12/12),Debts!$D$12)+MIN(C98+0,H98*(1+Debts!$C$13/12))*0+MIN(H98*(1+Debts!$C$13/12),Debts!$D$13)+MIN(C98+0,I98*(1+Debts!$C$14/12))*0+MIN(I98*(1+Debts!$C$14/12),Debts!$D$14)+MIN(C98+0,J98*(1+Debts!$C$15/12))*0+MIN(J98*(1+Debts!$C$15/12),Debts!$D$15)))),0)))</f>
        <v>0</v>
      </c>
      <c r="K99" s="22" t="n">
        <f aca="false">IF(C98&gt;0,C98*Debts!$C$8/12,0)+IF(D98&gt;0,D98*Debts!$C$9/12,0)+IF(E98&gt;0,E98*Debts!$C$10/12,0)+IF(F98&gt;0,F98*Debts!$C$11/12,0)+IF(G98&gt;0,G98*Debts!$C$12/12,0)+IF(H98&gt;0,H98*Debts!$C$13/12,0)+IF(I98&gt;0,I98*Debts!$C$14/12,0)+IF(J98&gt;0,J98*Debts!$C$15/12,0)</f>
        <v>0</v>
      </c>
      <c r="L99" s="22" t="n">
        <f aca="false">SUM(C99:J99)</f>
        <v>0</v>
      </c>
    </row>
    <row r="100" customFormat="false" ht="15" hidden="false" customHeight="false" outlineLevel="0" collapsed="false">
      <c r="A100" s="19" t="n">
        <f aca="false">93</f>
        <v>93</v>
      </c>
      <c r="B100" s="27" t="n">
        <f aca="false">IF(L99&lt;=0,0,Debts!$D$16+Debts!$B$4)</f>
        <v>0</v>
      </c>
      <c r="C100" s="22" t="n">
        <f aca="false">IF(C99&lt;=0,0,MAX(0,C99*(1+Debts!$C$8/12)-MIN(C99*(1+Debts!$C$8/12),Debts!$D$8)-IF(AND(C99&gt;0,Debts!$E$8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D100" s="22" t="n">
        <f aca="false">IF(D99&lt;=0,0,MAX(0,D99*(1+Debts!$C$9/12)-MIN(D99*(1+Debts!$C$9/12),Debts!$D$9)-IF(AND(D99&gt;0,Debts!$E$9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E100" s="22" t="n">
        <f aca="false">IF(E99&lt;=0,0,MAX(0,E99*(1+Debts!$C$10/12)-MIN(E99*(1+Debts!$C$10/12),Debts!$D$10)-IF(AND(E99&gt;0,Debts!$E$10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F100" s="22" t="n">
        <f aca="false">IF(F99&lt;=0,0,MAX(0,F99*(1+Debts!$C$11/12)-MIN(F99*(1+Debts!$C$11/12),Debts!$D$11)-IF(AND(F99&gt;0,Debts!$E$11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G100" s="22" t="n">
        <f aca="false">IF(G99&lt;=0,0,MAX(0,G99*(1+Debts!$C$12/12)-MIN(G99*(1+Debts!$C$12/12),Debts!$D$12)-IF(AND(G99&gt;0,Debts!$E$12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H100" s="22" t="n">
        <f aca="false">IF(H99&lt;=0,0,MAX(0,H99*(1+Debts!$C$13/12)-MIN(H99*(1+Debts!$C$13/12),Debts!$D$13)-IF(AND(H99&gt;0,Debts!$E$13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I100" s="22" t="n">
        <f aca="false">IF(I99&lt;=0,0,MAX(0,I99*(1+Debts!$C$14/12)-MIN(I99*(1+Debts!$C$14/12),Debts!$D$14)-IF(AND(I99&gt;0,Debts!$E$14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J100" s="22" t="n">
        <f aca="false">IF(J99&lt;=0,0,MAX(0,J99*(1+Debts!$C$15/12)-MIN(J99*(1+Debts!$C$15/12),Debts!$D$15)-IF(AND(J99&gt;0,Debts!$E$15=MIN(IF(C99&gt;0,Debts!$E$8,999),IF(D99&gt;0,Debts!$E$9,999),IF(E99&gt;0,Debts!$E$10,999),IF(F99&gt;0,Debts!$E$11,999),IF(G99&gt;0,Debts!$E$12,999),IF(H99&gt;0,Debts!$E$13,999),IF(I99&gt;0,Debts!$E$14,999),IF(J99&gt;0,Debts!$E$15,999))),MAX(0,(B100-(MIN(C99+0,C99*(1+Debts!$C$8/12))*0+MIN(C99*(1+Debts!$C$8/12),Debts!$D$8)+MIN(C99+0,D99*(1+Debts!$C$9/12))*0+MIN(D99*(1+Debts!$C$9/12),Debts!$D$9)+MIN(C99+0,E99*(1+Debts!$C$10/12))*0+MIN(E99*(1+Debts!$C$10/12),Debts!$D$10)+MIN(C99+0,F99*(1+Debts!$C$11/12))*0+MIN(F99*(1+Debts!$C$11/12),Debts!$D$11)+MIN(C99+0,G99*(1+Debts!$C$12/12))*0+MIN(G99*(1+Debts!$C$12/12),Debts!$D$12)+MIN(C99+0,H99*(1+Debts!$C$13/12))*0+MIN(H99*(1+Debts!$C$13/12),Debts!$D$13)+MIN(C99+0,I99*(1+Debts!$C$14/12))*0+MIN(I99*(1+Debts!$C$14/12),Debts!$D$14)+MIN(C99+0,J99*(1+Debts!$C$15/12))*0+MIN(J99*(1+Debts!$C$15/12),Debts!$D$15)))),0)))</f>
        <v>0</v>
      </c>
      <c r="K100" s="22" t="n">
        <f aca="false">IF(C99&gt;0,C99*Debts!$C$8/12,0)+IF(D99&gt;0,D99*Debts!$C$9/12,0)+IF(E99&gt;0,E99*Debts!$C$10/12,0)+IF(F99&gt;0,F99*Debts!$C$11/12,0)+IF(G99&gt;0,G99*Debts!$C$12/12,0)+IF(H99&gt;0,H99*Debts!$C$13/12,0)+IF(I99&gt;0,I99*Debts!$C$14/12,0)+IF(J99&gt;0,J99*Debts!$C$15/12,0)</f>
        <v>0</v>
      </c>
      <c r="L100" s="22" t="n">
        <f aca="false">SUM(C100:J100)</f>
        <v>0</v>
      </c>
    </row>
    <row r="101" customFormat="false" ht="15" hidden="false" customHeight="false" outlineLevel="0" collapsed="false">
      <c r="A101" s="19" t="n">
        <f aca="false">94</f>
        <v>94</v>
      </c>
      <c r="B101" s="27" t="n">
        <f aca="false">IF(L100&lt;=0,0,Debts!$D$16+Debts!$B$4)</f>
        <v>0</v>
      </c>
      <c r="C101" s="22" t="n">
        <f aca="false">IF(C100&lt;=0,0,MAX(0,C100*(1+Debts!$C$8/12)-MIN(C100*(1+Debts!$C$8/12),Debts!$D$8)-IF(AND(C100&gt;0,Debts!$E$8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D101" s="22" t="n">
        <f aca="false">IF(D100&lt;=0,0,MAX(0,D100*(1+Debts!$C$9/12)-MIN(D100*(1+Debts!$C$9/12),Debts!$D$9)-IF(AND(D100&gt;0,Debts!$E$9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E101" s="22" t="n">
        <f aca="false">IF(E100&lt;=0,0,MAX(0,E100*(1+Debts!$C$10/12)-MIN(E100*(1+Debts!$C$10/12),Debts!$D$10)-IF(AND(E100&gt;0,Debts!$E$10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F101" s="22" t="n">
        <f aca="false">IF(F100&lt;=0,0,MAX(0,F100*(1+Debts!$C$11/12)-MIN(F100*(1+Debts!$C$11/12),Debts!$D$11)-IF(AND(F100&gt;0,Debts!$E$11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G101" s="22" t="n">
        <f aca="false">IF(G100&lt;=0,0,MAX(0,G100*(1+Debts!$C$12/12)-MIN(G100*(1+Debts!$C$12/12),Debts!$D$12)-IF(AND(G100&gt;0,Debts!$E$12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H101" s="22" t="n">
        <f aca="false">IF(H100&lt;=0,0,MAX(0,H100*(1+Debts!$C$13/12)-MIN(H100*(1+Debts!$C$13/12),Debts!$D$13)-IF(AND(H100&gt;0,Debts!$E$13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I101" s="22" t="n">
        <f aca="false">IF(I100&lt;=0,0,MAX(0,I100*(1+Debts!$C$14/12)-MIN(I100*(1+Debts!$C$14/12),Debts!$D$14)-IF(AND(I100&gt;0,Debts!$E$14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J101" s="22" t="n">
        <f aca="false">IF(J100&lt;=0,0,MAX(0,J100*(1+Debts!$C$15/12)-MIN(J100*(1+Debts!$C$15/12),Debts!$D$15)-IF(AND(J100&gt;0,Debts!$E$15=MIN(IF(C100&gt;0,Debts!$E$8,999),IF(D100&gt;0,Debts!$E$9,999),IF(E100&gt;0,Debts!$E$10,999),IF(F100&gt;0,Debts!$E$11,999),IF(G100&gt;0,Debts!$E$12,999),IF(H100&gt;0,Debts!$E$13,999),IF(I100&gt;0,Debts!$E$14,999),IF(J100&gt;0,Debts!$E$15,999))),MAX(0,(B101-(MIN(C100+0,C100*(1+Debts!$C$8/12))*0+MIN(C100*(1+Debts!$C$8/12),Debts!$D$8)+MIN(C100+0,D100*(1+Debts!$C$9/12))*0+MIN(D100*(1+Debts!$C$9/12),Debts!$D$9)+MIN(C100+0,E100*(1+Debts!$C$10/12))*0+MIN(E100*(1+Debts!$C$10/12),Debts!$D$10)+MIN(C100+0,F100*(1+Debts!$C$11/12))*0+MIN(F100*(1+Debts!$C$11/12),Debts!$D$11)+MIN(C100+0,G100*(1+Debts!$C$12/12))*0+MIN(G100*(1+Debts!$C$12/12),Debts!$D$12)+MIN(C100+0,H100*(1+Debts!$C$13/12))*0+MIN(H100*(1+Debts!$C$13/12),Debts!$D$13)+MIN(C100+0,I100*(1+Debts!$C$14/12))*0+MIN(I100*(1+Debts!$C$14/12),Debts!$D$14)+MIN(C100+0,J100*(1+Debts!$C$15/12))*0+MIN(J100*(1+Debts!$C$15/12),Debts!$D$15)))),0)))</f>
        <v>0</v>
      </c>
      <c r="K101" s="22" t="n">
        <f aca="false">IF(C100&gt;0,C100*Debts!$C$8/12,0)+IF(D100&gt;0,D100*Debts!$C$9/12,0)+IF(E100&gt;0,E100*Debts!$C$10/12,0)+IF(F100&gt;0,F100*Debts!$C$11/12,0)+IF(G100&gt;0,G100*Debts!$C$12/12,0)+IF(H100&gt;0,H100*Debts!$C$13/12,0)+IF(I100&gt;0,I100*Debts!$C$14/12,0)+IF(J100&gt;0,J100*Debts!$C$15/12,0)</f>
        <v>0</v>
      </c>
      <c r="L101" s="22" t="n">
        <f aca="false">SUM(C101:J101)</f>
        <v>0</v>
      </c>
    </row>
    <row r="102" customFormat="false" ht="15" hidden="false" customHeight="false" outlineLevel="0" collapsed="false">
      <c r="A102" s="19" t="n">
        <f aca="false">95</f>
        <v>95</v>
      </c>
      <c r="B102" s="27" t="n">
        <f aca="false">IF(L101&lt;=0,0,Debts!$D$16+Debts!$B$4)</f>
        <v>0</v>
      </c>
      <c r="C102" s="22" t="n">
        <f aca="false">IF(C101&lt;=0,0,MAX(0,C101*(1+Debts!$C$8/12)-MIN(C101*(1+Debts!$C$8/12),Debts!$D$8)-IF(AND(C101&gt;0,Debts!$E$8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D102" s="22" t="n">
        <f aca="false">IF(D101&lt;=0,0,MAX(0,D101*(1+Debts!$C$9/12)-MIN(D101*(1+Debts!$C$9/12),Debts!$D$9)-IF(AND(D101&gt;0,Debts!$E$9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E102" s="22" t="n">
        <f aca="false">IF(E101&lt;=0,0,MAX(0,E101*(1+Debts!$C$10/12)-MIN(E101*(1+Debts!$C$10/12),Debts!$D$10)-IF(AND(E101&gt;0,Debts!$E$10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F102" s="22" t="n">
        <f aca="false">IF(F101&lt;=0,0,MAX(0,F101*(1+Debts!$C$11/12)-MIN(F101*(1+Debts!$C$11/12),Debts!$D$11)-IF(AND(F101&gt;0,Debts!$E$11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G102" s="22" t="n">
        <f aca="false">IF(G101&lt;=0,0,MAX(0,G101*(1+Debts!$C$12/12)-MIN(G101*(1+Debts!$C$12/12),Debts!$D$12)-IF(AND(G101&gt;0,Debts!$E$12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H102" s="22" t="n">
        <f aca="false">IF(H101&lt;=0,0,MAX(0,H101*(1+Debts!$C$13/12)-MIN(H101*(1+Debts!$C$13/12),Debts!$D$13)-IF(AND(H101&gt;0,Debts!$E$13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I102" s="22" t="n">
        <f aca="false">IF(I101&lt;=0,0,MAX(0,I101*(1+Debts!$C$14/12)-MIN(I101*(1+Debts!$C$14/12),Debts!$D$14)-IF(AND(I101&gt;0,Debts!$E$14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J102" s="22" t="n">
        <f aca="false">IF(J101&lt;=0,0,MAX(0,J101*(1+Debts!$C$15/12)-MIN(J101*(1+Debts!$C$15/12),Debts!$D$15)-IF(AND(J101&gt;0,Debts!$E$15=MIN(IF(C101&gt;0,Debts!$E$8,999),IF(D101&gt;0,Debts!$E$9,999),IF(E101&gt;0,Debts!$E$10,999),IF(F101&gt;0,Debts!$E$11,999),IF(G101&gt;0,Debts!$E$12,999),IF(H101&gt;0,Debts!$E$13,999),IF(I101&gt;0,Debts!$E$14,999),IF(J101&gt;0,Debts!$E$15,999))),MAX(0,(B102-(MIN(C101+0,C101*(1+Debts!$C$8/12))*0+MIN(C101*(1+Debts!$C$8/12),Debts!$D$8)+MIN(C101+0,D101*(1+Debts!$C$9/12))*0+MIN(D101*(1+Debts!$C$9/12),Debts!$D$9)+MIN(C101+0,E101*(1+Debts!$C$10/12))*0+MIN(E101*(1+Debts!$C$10/12),Debts!$D$10)+MIN(C101+0,F101*(1+Debts!$C$11/12))*0+MIN(F101*(1+Debts!$C$11/12),Debts!$D$11)+MIN(C101+0,G101*(1+Debts!$C$12/12))*0+MIN(G101*(1+Debts!$C$12/12),Debts!$D$12)+MIN(C101+0,H101*(1+Debts!$C$13/12))*0+MIN(H101*(1+Debts!$C$13/12),Debts!$D$13)+MIN(C101+0,I101*(1+Debts!$C$14/12))*0+MIN(I101*(1+Debts!$C$14/12),Debts!$D$14)+MIN(C101+0,J101*(1+Debts!$C$15/12))*0+MIN(J101*(1+Debts!$C$15/12),Debts!$D$15)))),0)))</f>
        <v>0</v>
      </c>
      <c r="K102" s="22" t="n">
        <f aca="false">IF(C101&gt;0,C101*Debts!$C$8/12,0)+IF(D101&gt;0,D101*Debts!$C$9/12,0)+IF(E101&gt;0,E101*Debts!$C$10/12,0)+IF(F101&gt;0,F101*Debts!$C$11/12,0)+IF(G101&gt;0,G101*Debts!$C$12/12,0)+IF(H101&gt;0,H101*Debts!$C$13/12,0)+IF(I101&gt;0,I101*Debts!$C$14/12,0)+IF(J101&gt;0,J101*Debts!$C$15/12,0)</f>
        <v>0</v>
      </c>
      <c r="L102" s="22" t="n">
        <f aca="false">SUM(C102:J102)</f>
        <v>0</v>
      </c>
    </row>
    <row r="103" customFormat="false" ht="15" hidden="false" customHeight="false" outlineLevel="0" collapsed="false">
      <c r="A103" s="19" t="n">
        <f aca="false">96</f>
        <v>96</v>
      </c>
      <c r="B103" s="27" t="n">
        <f aca="false">IF(L102&lt;=0,0,Debts!$D$16+Debts!$B$4)</f>
        <v>0</v>
      </c>
      <c r="C103" s="22" t="n">
        <f aca="false">IF(C102&lt;=0,0,MAX(0,C102*(1+Debts!$C$8/12)-MIN(C102*(1+Debts!$C$8/12),Debts!$D$8)-IF(AND(C102&gt;0,Debts!$E$8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D103" s="22" t="n">
        <f aca="false">IF(D102&lt;=0,0,MAX(0,D102*(1+Debts!$C$9/12)-MIN(D102*(1+Debts!$C$9/12),Debts!$D$9)-IF(AND(D102&gt;0,Debts!$E$9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E103" s="22" t="n">
        <f aca="false">IF(E102&lt;=0,0,MAX(0,E102*(1+Debts!$C$10/12)-MIN(E102*(1+Debts!$C$10/12),Debts!$D$10)-IF(AND(E102&gt;0,Debts!$E$10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F103" s="22" t="n">
        <f aca="false">IF(F102&lt;=0,0,MAX(0,F102*(1+Debts!$C$11/12)-MIN(F102*(1+Debts!$C$11/12),Debts!$D$11)-IF(AND(F102&gt;0,Debts!$E$11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G103" s="22" t="n">
        <f aca="false">IF(G102&lt;=0,0,MAX(0,G102*(1+Debts!$C$12/12)-MIN(G102*(1+Debts!$C$12/12),Debts!$D$12)-IF(AND(G102&gt;0,Debts!$E$12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H103" s="22" t="n">
        <f aca="false">IF(H102&lt;=0,0,MAX(0,H102*(1+Debts!$C$13/12)-MIN(H102*(1+Debts!$C$13/12),Debts!$D$13)-IF(AND(H102&gt;0,Debts!$E$13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I103" s="22" t="n">
        <f aca="false">IF(I102&lt;=0,0,MAX(0,I102*(1+Debts!$C$14/12)-MIN(I102*(1+Debts!$C$14/12),Debts!$D$14)-IF(AND(I102&gt;0,Debts!$E$14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J103" s="22" t="n">
        <f aca="false">IF(J102&lt;=0,0,MAX(0,J102*(1+Debts!$C$15/12)-MIN(J102*(1+Debts!$C$15/12),Debts!$D$15)-IF(AND(J102&gt;0,Debts!$E$15=MIN(IF(C102&gt;0,Debts!$E$8,999),IF(D102&gt;0,Debts!$E$9,999),IF(E102&gt;0,Debts!$E$10,999),IF(F102&gt;0,Debts!$E$11,999),IF(G102&gt;0,Debts!$E$12,999),IF(H102&gt;0,Debts!$E$13,999),IF(I102&gt;0,Debts!$E$14,999),IF(J102&gt;0,Debts!$E$15,999))),MAX(0,(B103-(MIN(C102+0,C102*(1+Debts!$C$8/12))*0+MIN(C102*(1+Debts!$C$8/12),Debts!$D$8)+MIN(C102+0,D102*(1+Debts!$C$9/12))*0+MIN(D102*(1+Debts!$C$9/12),Debts!$D$9)+MIN(C102+0,E102*(1+Debts!$C$10/12))*0+MIN(E102*(1+Debts!$C$10/12),Debts!$D$10)+MIN(C102+0,F102*(1+Debts!$C$11/12))*0+MIN(F102*(1+Debts!$C$11/12),Debts!$D$11)+MIN(C102+0,G102*(1+Debts!$C$12/12))*0+MIN(G102*(1+Debts!$C$12/12),Debts!$D$12)+MIN(C102+0,H102*(1+Debts!$C$13/12))*0+MIN(H102*(1+Debts!$C$13/12),Debts!$D$13)+MIN(C102+0,I102*(1+Debts!$C$14/12))*0+MIN(I102*(1+Debts!$C$14/12),Debts!$D$14)+MIN(C102+0,J102*(1+Debts!$C$15/12))*0+MIN(J102*(1+Debts!$C$15/12),Debts!$D$15)))),0)))</f>
        <v>0</v>
      </c>
      <c r="K103" s="22" t="n">
        <f aca="false">IF(C102&gt;0,C102*Debts!$C$8/12,0)+IF(D102&gt;0,D102*Debts!$C$9/12,0)+IF(E102&gt;0,E102*Debts!$C$10/12,0)+IF(F102&gt;0,F102*Debts!$C$11/12,0)+IF(G102&gt;0,G102*Debts!$C$12/12,0)+IF(H102&gt;0,H102*Debts!$C$13/12,0)+IF(I102&gt;0,I102*Debts!$C$14/12,0)+IF(J102&gt;0,J102*Debts!$C$15/12,0)</f>
        <v>0</v>
      </c>
      <c r="L103" s="22" t="n">
        <f aca="false">SUM(C103:J103)</f>
        <v>0</v>
      </c>
    </row>
    <row r="104" customFormat="false" ht="15" hidden="false" customHeight="false" outlineLevel="0" collapsed="false">
      <c r="A104" s="19" t="n">
        <f aca="false">97</f>
        <v>97</v>
      </c>
      <c r="B104" s="27" t="n">
        <f aca="false">IF(L103&lt;=0,0,Debts!$D$16+Debts!$B$4)</f>
        <v>0</v>
      </c>
      <c r="C104" s="22" t="n">
        <f aca="false">IF(C103&lt;=0,0,MAX(0,C103*(1+Debts!$C$8/12)-MIN(C103*(1+Debts!$C$8/12),Debts!$D$8)-IF(AND(C103&gt;0,Debts!$E$8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D104" s="22" t="n">
        <f aca="false">IF(D103&lt;=0,0,MAX(0,D103*(1+Debts!$C$9/12)-MIN(D103*(1+Debts!$C$9/12),Debts!$D$9)-IF(AND(D103&gt;0,Debts!$E$9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E104" s="22" t="n">
        <f aca="false">IF(E103&lt;=0,0,MAX(0,E103*(1+Debts!$C$10/12)-MIN(E103*(1+Debts!$C$10/12),Debts!$D$10)-IF(AND(E103&gt;0,Debts!$E$10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F104" s="22" t="n">
        <f aca="false">IF(F103&lt;=0,0,MAX(0,F103*(1+Debts!$C$11/12)-MIN(F103*(1+Debts!$C$11/12),Debts!$D$11)-IF(AND(F103&gt;0,Debts!$E$11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G104" s="22" t="n">
        <f aca="false">IF(G103&lt;=0,0,MAX(0,G103*(1+Debts!$C$12/12)-MIN(G103*(1+Debts!$C$12/12),Debts!$D$12)-IF(AND(G103&gt;0,Debts!$E$12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H104" s="22" t="n">
        <f aca="false">IF(H103&lt;=0,0,MAX(0,H103*(1+Debts!$C$13/12)-MIN(H103*(1+Debts!$C$13/12),Debts!$D$13)-IF(AND(H103&gt;0,Debts!$E$13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I104" s="22" t="n">
        <f aca="false">IF(I103&lt;=0,0,MAX(0,I103*(1+Debts!$C$14/12)-MIN(I103*(1+Debts!$C$14/12),Debts!$D$14)-IF(AND(I103&gt;0,Debts!$E$14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J104" s="22" t="n">
        <f aca="false">IF(J103&lt;=0,0,MAX(0,J103*(1+Debts!$C$15/12)-MIN(J103*(1+Debts!$C$15/12),Debts!$D$15)-IF(AND(J103&gt;0,Debts!$E$15=MIN(IF(C103&gt;0,Debts!$E$8,999),IF(D103&gt;0,Debts!$E$9,999),IF(E103&gt;0,Debts!$E$10,999),IF(F103&gt;0,Debts!$E$11,999),IF(G103&gt;0,Debts!$E$12,999),IF(H103&gt;0,Debts!$E$13,999),IF(I103&gt;0,Debts!$E$14,999),IF(J103&gt;0,Debts!$E$15,999))),MAX(0,(B104-(MIN(C103+0,C103*(1+Debts!$C$8/12))*0+MIN(C103*(1+Debts!$C$8/12),Debts!$D$8)+MIN(C103+0,D103*(1+Debts!$C$9/12))*0+MIN(D103*(1+Debts!$C$9/12),Debts!$D$9)+MIN(C103+0,E103*(1+Debts!$C$10/12))*0+MIN(E103*(1+Debts!$C$10/12),Debts!$D$10)+MIN(C103+0,F103*(1+Debts!$C$11/12))*0+MIN(F103*(1+Debts!$C$11/12),Debts!$D$11)+MIN(C103+0,G103*(1+Debts!$C$12/12))*0+MIN(G103*(1+Debts!$C$12/12),Debts!$D$12)+MIN(C103+0,H103*(1+Debts!$C$13/12))*0+MIN(H103*(1+Debts!$C$13/12),Debts!$D$13)+MIN(C103+0,I103*(1+Debts!$C$14/12))*0+MIN(I103*(1+Debts!$C$14/12),Debts!$D$14)+MIN(C103+0,J103*(1+Debts!$C$15/12))*0+MIN(J103*(1+Debts!$C$15/12),Debts!$D$15)))),0)))</f>
        <v>0</v>
      </c>
      <c r="K104" s="22" t="n">
        <f aca="false">IF(C103&gt;0,C103*Debts!$C$8/12,0)+IF(D103&gt;0,D103*Debts!$C$9/12,0)+IF(E103&gt;0,E103*Debts!$C$10/12,0)+IF(F103&gt;0,F103*Debts!$C$11/12,0)+IF(G103&gt;0,G103*Debts!$C$12/12,0)+IF(H103&gt;0,H103*Debts!$C$13/12,0)+IF(I103&gt;0,I103*Debts!$C$14/12,0)+IF(J103&gt;0,J103*Debts!$C$15/12,0)</f>
        <v>0</v>
      </c>
      <c r="L104" s="22" t="n">
        <f aca="false">SUM(C104:J104)</f>
        <v>0</v>
      </c>
    </row>
    <row r="105" customFormat="false" ht="15" hidden="false" customHeight="false" outlineLevel="0" collapsed="false">
      <c r="A105" s="19" t="n">
        <f aca="false">98</f>
        <v>98</v>
      </c>
      <c r="B105" s="27" t="n">
        <f aca="false">IF(L104&lt;=0,0,Debts!$D$16+Debts!$B$4)</f>
        <v>0</v>
      </c>
      <c r="C105" s="22" t="n">
        <f aca="false">IF(C104&lt;=0,0,MAX(0,C104*(1+Debts!$C$8/12)-MIN(C104*(1+Debts!$C$8/12),Debts!$D$8)-IF(AND(C104&gt;0,Debts!$E$8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D105" s="22" t="n">
        <f aca="false">IF(D104&lt;=0,0,MAX(0,D104*(1+Debts!$C$9/12)-MIN(D104*(1+Debts!$C$9/12),Debts!$D$9)-IF(AND(D104&gt;0,Debts!$E$9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E105" s="22" t="n">
        <f aca="false">IF(E104&lt;=0,0,MAX(0,E104*(1+Debts!$C$10/12)-MIN(E104*(1+Debts!$C$10/12),Debts!$D$10)-IF(AND(E104&gt;0,Debts!$E$10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F105" s="22" t="n">
        <f aca="false">IF(F104&lt;=0,0,MAX(0,F104*(1+Debts!$C$11/12)-MIN(F104*(1+Debts!$C$11/12),Debts!$D$11)-IF(AND(F104&gt;0,Debts!$E$11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G105" s="22" t="n">
        <f aca="false">IF(G104&lt;=0,0,MAX(0,G104*(1+Debts!$C$12/12)-MIN(G104*(1+Debts!$C$12/12),Debts!$D$12)-IF(AND(G104&gt;0,Debts!$E$12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H105" s="22" t="n">
        <f aca="false">IF(H104&lt;=0,0,MAX(0,H104*(1+Debts!$C$13/12)-MIN(H104*(1+Debts!$C$13/12),Debts!$D$13)-IF(AND(H104&gt;0,Debts!$E$13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I105" s="22" t="n">
        <f aca="false">IF(I104&lt;=0,0,MAX(0,I104*(1+Debts!$C$14/12)-MIN(I104*(1+Debts!$C$14/12),Debts!$D$14)-IF(AND(I104&gt;0,Debts!$E$14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J105" s="22" t="n">
        <f aca="false">IF(J104&lt;=0,0,MAX(0,J104*(1+Debts!$C$15/12)-MIN(J104*(1+Debts!$C$15/12),Debts!$D$15)-IF(AND(J104&gt;0,Debts!$E$15=MIN(IF(C104&gt;0,Debts!$E$8,999),IF(D104&gt;0,Debts!$E$9,999),IF(E104&gt;0,Debts!$E$10,999),IF(F104&gt;0,Debts!$E$11,999),IF(G104&gt;0,Debts!$E$12,999),IF(H104&gt;0,Debts!$E$13,999),IF(I104&gt;0,Debts!$E$14,999),IF(J104&gt;0,Debts!$E$15,999))),MAX(0,(B105-(MIN(C104+0,C104*(1+Debts!$C$8/12))*0+MIN(C104*(1+Debts!$C$8/12),Debts!$D$8)+MIN(C104+0,D104*(1+Debts!$C$9/12))*0+MIN(D104*(1+Debts!$C$9/12),Debts!$D$9)+MIN(C104+0,E104*(1+Debts!$C$10/12))*0+MIN(E104*(1+Debts!$C$10/12),Debts!$D$10)+MIN(C104+0,F104*(1+Debts!$C$11/12))*0+MIN(F104*(1+Debts!$C$11/12),Debts!$D$11)+MIN(C104+0,G104*(1+Debts!$C$12/12))*0+MIN(G104*(1+Debts!$C$12/12),Debts!$D$12)+MIN(C104+0,H104*(1+Debts!$C$13/12))*0+MIN(H104*(1+Debts!$C$13/12),Debts!$D$13)+MIN(C104+0,I104*(1+Debts!$C$14/12))*0+MIN(I104*(1+Debts!$C$14/12),Debts!$D$14)+MIN(C104+0,J104*(1+Debts!$C$15/12))*0+MIN(J104*(1+Debts!$C$15/12),Debts!$D$15)))),0)))</f>
        <v>0</v>
      </c>
      <c r="K105" s="22" t="n">
        <f aca="false">IF(C104&gt;0,C104*Debts!$C$8/12,0)+IF(D104&gt;0,D104*Debts!$C$9/12,0)+IF(E104&gt;0,E104*Debts!$C$10/12,0)+IF(F104&gt;0,F104*Debts!$C$11/12,0)+IF(G104&gt;0,G104*Debts!$C$12/12,0)+IF(H104&gt;0,H104*Debts!$C$13/12,0)+IF(I104&gt;0,I104*Debts!$C$14/12,0)+IF(J104&gt;0,J104*Debts!$C$15/12,0)</f>
        <v>0</v>
      </c>
      <c r="L105" s="22" t="n">
        <f aca="false">SUM(C105:J105)</f>
        <v>0</v>
      </c>
    </row>
    <row r="106" customFormat="false" ht="15" hidden="false" customHeight="false" outlineLevel="0" collapsed="false">
      <c r="A106" s="19" t="n">
        <f aca="false">99</f>
        <v>99</v>
      </c>
      <c r="B106" s="27" t="n">
        <f aca="false">IF(L105&lt;=0,0,Debts!$D$16+Debts!$B$4)</f>
        <v>0</v>
      </c>
      <c r="C106" s="22" t="n">
        <f aca="false">IF(C105&lt;=0,0,MAX(0,C105*(1+Debts!$C$8/12)-MIN(C105*(1+Debts!$C$8/12),Debts!$D$8)-IF(AND(C105&gt;0,Debts!$E$8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D106" s="22" t="n">
        <f aca="false">IF(D105&lt;=0,0,MAX(0,D105*(1+Debts!$C$9/12)-MIN(D105*(1+Debts!$C$9/12),Debts!$D$9)-IF(AND(D105&gt;0,Debts!$E$9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E106" s="22" t="n">
        <f aca="false">IF(E105&lt;=0,0,MAX(0,E105*(1+Debts!$C$10/12)-MIN(E105*(1+Debts!$C$10/12),Debts!$D$10)-IF(AND(E105&gt;0,Debts!$E$10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F106" s="22" t="n">
        <f aca="false">IF(F105&lt;=0,0,MAX(0,F105*(1+Debts!$C$11/12)-MIN(F105*(1+Debts!$C$11/12),Debts!$D$11)-IF(AND(F105&gt;0,Debts!$E$11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G106" s="22" t="n">
        <f aca="false">IF(G105&lt;=0,0,MAX(0,G105*(1+Debts!$C$12/12)-MIN(G105*(1+Debts!$C$12/12),Debts!$D$12)-IF(AND(G105&gt;0,Debts!$E$12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H106" s="22" t="n">
        <f aca="false">IF(H105&lt;=0,0,MAX(0,H105*(1+Debts!$C$13/12)-MIN(H105*(1+Debts!$C$13/12),Debts!$D$13)-IF(AND(H105&gt;0,Debts!$E$13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I106" s="22" t="n">
        <f aca="false">IF(I105&lt;=0,0,MAX(0,I105*(1+Debts!$C$14/12)-MIN(I105*(1+Debts!$C$14/12),Debts!$D$14)-IF(AND(I105&gt;0,Debts!$E$14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J106" s="22" t="n">
        <f aca="false">IF(J105&lt;=0,0,MAX(0,J105*(1+Debts!$C$15/12)-MIN(J105*(1+Debts!$C$15/12),Debts!$D$15)-IF(AND(J105&gt;0,Debts!$E$15=MIN(IF(C105&gt;0,Debts!$E$8,999),IF(D105&gt;0,Debts!$E$9,999),IF(E105&gt;0,Debts!$E$10,999),IF(F105&gt;0,Debts!$E$11,999),IF(G105&gt;0,Debts!$E$12,999),IF(H105&gt;0,Debts!$E$13,999),IF(I105&gt;0,Debts!$E$14,999),IF(J105&gt;0,Debts!$E$15,999))),MAX(0,(B106-(MIN(C105+0,C105*(1+Debts!$C$8/12))*0+MIN(C105*(1+Debts!$C$8/12),Debts!$D$8)+MIN(C105+0,D105*(1+Debts!$C$9/12))*0+MIN(D105*(1+Debts!$C$9/12),Debts!$D$9)+MIN(C105+0,E105*(1+Debts!$C$10/12))*0+MIN(E105*(1+Debts!$C$10/12),Debts!$D$10)+MIN(C105+0,F105*(1+Debts!$C$11/12))*0+MIN(F105*(1+Debts!$C$11/12),Debts!$D$11)+MIN(C105+0,G105*(1+Debts!$C$12/12))*0+MIN(G105*(1+Debts!$C$12/12),Debts!$D$12)+MIN(C105+0,H105*(1+Debts!$C$13/12))*0+MIN(H105*(1+Debts!$C$13/12),Debts!$D$13)+MIN(C105+0,I105*(1+Debts!$C$14/12))*0+MIN(I105*(1+Debts!$C$14/12),Debts!$D$14)+MIN(C105+0,J105*(1+Debts!$C$15/12))*0+MIN(J105*(1+Debts!$C$15/12),Debts!$D$15)))),0)))</f>
        <v>0</v>
      </c>
      <c r="K106" s="22" t="n">
        <f aca="false">IF(C105&gt;0,C105*Debts!$C$8/12,0)+IF(D105&gt;0,D105*Debts!$C$9/12,0)+IF(E105&gt;0,E105*Debts!$C$10/12,0)+IF(F105&gt;0,F105*Debts!$C$11/12,0)+IF(G105&gt;0,G105*Debts!$C$12/12,0)+IF(H105&gt;0,H105*Debts!$C$13/12,0)+IF(I105&gt;0,I105*Debts!$C$14/12,0)+IF(J105&gt;0,J105*Debts!$C$15/12,0)</f>
        <v>0</v>
      </c>
      <c r="L106" s="22" t="n">
        <f aca="false">SUM(C106:J106)</f>
        <v>0</v>
      </c>
    </row>
    <row r="107" customFormat="false" ht="15" hidden="false" customHeight="false" outlineLevel="0" collapsed="false">
      <c r="A107" s="19" t="n">
        <f aca="false">100</f>
        <v>100</v>
      </c>
      <c r="B107" s="27" t="n">
        <f aca="false">IF(L106&lt;=0,0,Debts!$D$16+Debts!$B$4)</f>
        <v>0</v>
      </c>
      <c r="C107" s="22" t="n">
        <f aca="false">IF(C106&lt;=0,0,MAX(0,C106*(1+Debts!$C$8/12)-MIN(C106*(1+Debts!$C$8/12),Debts!$D$8)-IF(AND(C106&gt;0,Debts!$E$8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D107" s="22" t="n">
        <f aca="false">IF(D106&lt;=0,0,MAX(0,D106*(1+Debts!$C$9/12)-MIN(D106*(1+Debts!$C$9/12),Debts!$D$9)-IF(AND(D106&gt;0,Debts!$E$9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E107" s="22" t="n">
        <f aca="false">IF(E106&lt;=0,0,MAX(0,E106*(1+Debts!$C$10/12)-MIN(E106*(1+Debts!$C$10/12),Debts!$D$10)-IF(AND(E106&gt;0,Debts!$E$10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F107" s="22" t="n">
        <f aca="false">IF(F106&lt;=0,0,MAX(0,F106*(1+Debts!$C$11/12)-MIN(F106*(1+Debts!$C$11/12),Debts!$D$11)-IF(AND(F106&gt;0,Debts!$E$11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G107" s="22" t="n">
        <f aca="false">IF(G106&lt;=0,0,MAX(0,G106*(1+Debts!$C$12/12)-MIN(G106*(1+Debts!$C$12/12),Debts!$D$12)-IF(AND(G106&gt;0,Debts!$E$12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H107" s="22" t="n">
        <f aca="false">IF(H106&lt;=0,0,MAX(0,H106*(1+Debts!$C$13/12)-MIN(H106*(1+Debts!$C$13/12),Debts!$D$13)-IF(AND(H106&gt;0,Debts!$E$13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I107" s="22" t="n">
        <f aca="false">IF(I106&lt;=0,0,MAX(0,I106*(1+Debts!$C$14/12)-MIN(I106*(1+Debts!$C$14/12),Debts!$D$14)-IF(AND(I106&gt;0,Debts!$E$14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J107" s="22" t="n">
        <f aca="false">IF(J106&lt;=0,0,MAX(0,J106*(1+Debts!$C$15/12)-MIN(J106*(1+Debts!$C$15/12),Debts!$D$15)-IF(AND(J106&gt;0,Debts!$E$15=MIN(IF(C106&gt;0,Debts!$E$8,999),IF(D106&gt;0,Debts!$E$9,999),IF(E106&gt;0,Debts!$E$10,999),IF(F106&gt;0,Debts!$E$11,999),IF(G106&gt;0,Debts!$E$12,999),IF(H106&gt;0,Debts!$E$13,999),IF(I106&gt;0,Debts!$E$14,999),IF(J106&gt;0,Debts!$E$15,999))),MAX(0,(B107-(MIN(C106+0,C106*(1+Debts!$C$8/12))*0+MIN(C106*(1+Debts!$C$8/12),Debts!$D$8)+MIN(C106+0,D106*(1+Debts!$C$9/12))*0+MIN(D106*(1+Debts!$C$9/12),Debts!$D$9)+MIN(C106+0,E106*(1+Debts!$C$10/12))*0+MIN(E106*(1+Debts!$C$10/12),Debts!$D$10)+MIN(C106+0,F106*(1+Debts!$C$11/12))*0+MIN(F106*(1+Debts!$C$11/12),Debts!$D$11)+MIN(C106+0,G106*(1+Debts!$C$12/12))*0+MIN(G106*(1+Debts!$C$12/12),Debts!$D$12)+MIN(C106+0,H106*(1+Debts!$C$13/12))*0+MIN(H106*(1+Debts!$C$13/12),Debts!$D$13)+MIN(C106+0,I106*(1+Debts!$C$14/12))*0+MIN(I106*(1+Debts!$C$14/12),Debts!$D$14)+MIN(C106+0,J106*(1+Debts!$C$15/12))*0+MIN(J106*(1+Debts!$C$15/12),Debts!$D$15)))),0)))</f>
        <v>0</v>
      </c>
      <c r="K107" s="22" t="n">
        <f aca="false">IF(C106&gt;0,C106*Debts!$C$8/12,0)+IF(D106&gt;0,D106*Debts!$C$9/12,0)+IF(E106&gt;0,E106*Debts!$C$10/12,0)+IF(F106&gt;0,F106*Debts!$C$11/12,0)+IF(G106&gt;0,G106*Debts!$C$12/12,0)+IF(H106&gt;0,H106*Debts!$C$13/12,0)+IF(I106&gt;0,I106*Debts!$C$14/12,0)+IF(J106&gt;0,J106*Debts!$C$15/12,0)</f>
        <v>0</v>
      </c>
      <c r="L107" s="22" t="n">
        <f aca="false">SUM(C107:J107)</f>
        <v>0</v>
      </c>
    </row>
    <row r="108" customFormat="false" ht="15" hidden="false" customHeight="false" outlineLevel="0" collapsed="false">
      <c r="A108" s="19" t="n">
        <f aca="false">101</f>
        <v>101</v>
      </c>
      <c r="B108" s="27" t="n">
        <f aca="false">IF(L107&lt;=0,0,Debts!$D$16+Debts!$B$4)</f>
        <v>0</v>
      </c>
      <c r="C108" s="22" t="n">
        <f aca="false">IF(C107&lt;=0,0,MAX(0,C107*(1+Debts!$C$8/12)-MIN(C107*(1+Debts!$C$8/12),Debts!$D$8)-IF(AND(C107&gt;0,Debts!$E$8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D108" s="22" t="n">
        <f aca="false">IF(D107&lt;=0,0,MAX(0,D107*(1+Debts!$C$9/12)-MIN(D107*(1+Debts!$C$9/12),Debts!$D$9)-IF(AND(D107&gt;0,Debts!$E$9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E108" s="22" t="n">
        <f aca="false">IF(E107&lt;=0,0,MAX(0,E107*(1+Debts!$C$10/12)-MIN(E107*(1+Debts!$C$10/12),Debts!$D$10)-IF(AND(E107&gt;0,Debts!$E$10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F108" s="22" t="n">
        <f aca="false">IF(F107&lt;=0,0,MAX(0,F107*(1+Debts!$C$11/12)-MIN(F107*(1+Debts!$C$11/12),Debts!$D$11)-IF(AND(F107&gt;0,Debts!$E$11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G108" s="22" t="n">
        <f aca="false">IF(G107&lt;=0,0,MAX(0,G107*(1+Debts!$C$12/12)-MIN(G107*(1+Debts!$C$12/12),Debts!$D$12)-IF(AND(G107&gt;0,Debts!$E$12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H108" s="22" t="n">
        <f aca="false">IF(H107&lt;=0,0,MAX(0,H107*(1+Debts!$C$13/12)-MIN(H107*(1+Debts!$C$13/12),Debts!$D$13)-IF(AND(H107&gt;0,Debts!$E$13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I108" s="22" t="n">
        <f aca="false">IF(I107&lt;=0,0,MAX(0,I107*(1+Debts!$C$14/12)-MIN(I107*(1+Debts!$C$14/12),Debts!$D$14)-IF(AND(I107&gt;0,Debts!$E$14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J108" s="22" t="n">
        <f aca="false">IF(J107&lt;=0,0,MAX(0,J107*(1+Debts!$C$15/12)-MIN(J107*(1+Debts!$C$15/12),Debts!$D$15)-IF(AND(J107&gt;0,Debts!$E$15=MIN(IF(C107&gt;0,Debts!$E$8,999),IF(D107&gt;0,Debts!$E$9,999),IF(E107&gt;0,Debts!$E$10,999),IF(F107&gt;0,Debts!$E$11,999),IF(G107&gt;0,Debts!$E$12,999),IF(H107&gt;0,Debts!$E$13,999),IF(I107&gt;0,Debts!$E$14,999),IF(J107&gt;0,Debts!$E$15,999))),MAX(0,(B108-(MIN(C107+0,C107*(1+Debts!$C$8/12))*0+MIN(C107*(1+Debts!$C$8/12),Debts!$D$8)+MIN(C107+0,D107*(1+Debts!$C$9/12))*0+MIN(D107*(1+Debts!$C$9/12),Debts!$D$9)+MIN(C107+0,E107*(1+Debts!$C$10/12))*0+MIN(E107*(1+Debts!$C$10/12),Debts!$D$10)+MIN(C107+0,F107*(1+Debts!$C$11/12))*0+MIN(F107*(1+Debts!$C$11/12),Debts!$D$11)+MIN(C107+0,G107*(1+Debts!$C$12/12))*0+MIN(G107*(1+Debts!$C$12/12),Debts!$D$12)+MIN(C107+0,H107*(1+Debts!$C$13/12))*0+MIN(H107*(1+Debts!$C$13/12),Debts!$D$13)+MIN(C107+0,I107*(1+Debts!$C$14/12))*0+MIN(I107*(1+Debts!$C$14/12),Debts!$D$14)+MIN(C107+0,J107*(1+Debts!$C$15/12))*0+MIN(J107*(1+Debts!$C$15/12),Debts!$D$15)))),0)))</f>
        <v>0</v>
      </c>
      <c r="K108" s="22" t="n">
        <f aca="false">IF(C107&gt;0,C107*Debts!$C$8/12,0)+IF(D107&gt;0,D107*Debts!$C$9/12,0)+IF(E107&gt;0,E107*Debts!$C$10/12,0)+IF(F107&gt;0,F107*Debts!$C$11/12,0)+IF(G107&gt;0,G107*Debts!$C$12/12,0)+IF(H107&gt;0,H107*Debts!$C$13/12,0)+IF(I107&gt;0,I107*Debts!$C$14/12,0)+IF(J107&gt;0,J107*Debts!$C$15/12,0)</f>
        <v>0</v>
      </c>
      <c r="L108" s="22" t="n">
        <f aca="false">SUM(C108:J108)</f>
        <v>0</v>
      </c>
    </row>
    <row r="109" customFormat="false" ht="15" hidden="false" customHeight="false" outlineLevel="0" collapsed="false">
      <c r="A109" s="19" t="n">
        <f aca="false">102</f>
        <v>102</v>
      </c>
      <c r="B109" s="27" t="n">
        <f aca="false">IF(L108&lt;=0,0,Debts!$D$16+Debts!$B$4)</f>
        <v>0</v>
      </c>
      <c r="C109" s="22" t="n">
        <f aca="false">IF(C108&lt;=0,0,MAX(0,C108*(1+Debts!$C$8/12)-MIN(C108*(1+Debts!$C$8/12),Debts!$D$8)-IF(AND(C108&gt;0,Debts!$E$8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D109" s="22" t="n">
        <f aca="false">IF(D108&lt;=0,0,MAX(0,D108*(1+Debts!$C$9/12)-MIN(D108*(1+Debts!$C$9/12),Debts!$D$9)-IF(AND(D108&gt;0,Debts!$E$9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E109" s="22" t="n">
        <f aca="false">IF(E108&lt;=0,0,MAX(0,E108*(1+Debts!$C$10/12)-MIN(E108*(1+Debts!$C$10/12),Debts!$D$10)-IF(AND(E108&gt;0,Debts!$E$10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F109" s="22" t="n">
        <f aca="false">IF(F108&lt;=0,0,MAX(0,F108*(1+Debts!$C$11/12)-MIN(F108*(1+Debts!$C$11/12),Debts!$D$11)-IF(AND(F108&gt;0,Debts!$E$11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G109" s="22" t="n">
        <f aca="false">IF(G108&lt;=0,0,MAX(0,G108*(1+Debts!$C$12/12)-MIN(G108*(1+Debts!$C$12/12),Debts!$D$12)-IF(AND(G108&gt;0,Debts!$E$12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H109" s="22" t="n">
        <f aca="false">IF(H108&lt;=0,0,MAX(0,H108*(1+Debts!$C$13/12)-MIN(H108*(1+Debts!$C$13/12),Debts!$D$13)-IF(AND(H108&gt;0,Debts!$E$13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I109" s="22" t="n">
        <f aca="false">IF(I108&lt;=0,0,MAX(0,I108*(1+Debts!$C$14/12)-MIN(I108*(1+Debts!$C$14/12),Debts!$D$14)-IF(AND(I108&gt;0,Debts!$E$14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J109" s="22" t="n">
        <f aca="false">IF(J108&lt;=0,0,MAX(0,J108*(1+Debts!$C$15/12)-MIN(J108*(1+Debts!$C$15/12),Debts!$D$15)-IF(AND(J108&gt;0,Debts!$E$15=MIN(IF(C108&gt;0,Debts!$E$8,999),IF(D108&gt;0,Debts!$E$9,999),IF(E108&gt;0,Debts!$E$10,999),IF(F108&gt;0,Debts!$E$11,999),IF(G108&gt;0,Debts!$E$12,999),IF(H108&gt;0,Debts!$E$13,999),IF(I108&gt;0,Debts!$E$14,999),IF(J108&gt;0,Debts!$E$15,999))),MAX(0,(B109-(MIN(C108+0,C108*(1+Debts!$C$8/12))*0+MIN(C108*(1+Debts!$C$8/12),Debts!$D$8)+MIN(C108+0,D108*(1+Debts!$C$9/12))*0+MIN(D108*(1+Debts!$C$9/12),Debts!$D$9)+MIN(C108+0,E108*(1+Debts!$C$10/12))*0+MIN(E108*(1+Debts!$C$10/12),Debts!$D$10)+MIN(C108+0,F108*(1+Debts!$C$11/12))*0+MIN(F108*(1+Debts!$C$11/12),Debts!$D$11)+MIN(C108+0,G108*(1+Debts!$C$12/12))*0+MIN(G108*(1+Debts!$C$12/12),Debts!$D$12)+MIN(C108+0,H108*(1+Debts!$C$13/12))*0+MIN(H108*(1+Debts!$C$13/12),Debts!$D$13)+MIN(C108+0,I108*(1+Debts!$C$14/12))*0+MIN(I108*(1+Debts!$C$14/12),Debts!$D$14)+MIN(C108+0,J108*(1+Debts!$C$15/12))*0+MIN(J108*(1+Debts!$C$15/12),Debts!$D$15)))),0)))</f>
        <v>0</v>
      </c>
      <c r="K109" s="22" t="n">
        <f aca="false">IF(C108&gt;0,C108*Debts!$C$8/12,0)+IF(D108&gt;0,D108*Debts!$C$9/12,0)+IF(E108&gt;0,E108*Debts!$C$10/12,0)+IF(F108&gt;0,F108*Debts!$C$11/12,0)+IF(G108&gt;0,G108*Debts!$C$12/12,0)+IF(H108&gt;0,H108*Debts!$C$13/12,0)+IF(I108&gt;0,I108*Debts!$C$14/12,0)+IF(J108&gt;0,J108*Debts!$C$15/12,0)</f>
        <v>0</v>
      </c>
      <c r="L109" s="22" t="n">
        <f aca="false">SUM(C109:J109)</f>
        <v>0</v>
      </c>
    </row>
    <row r="110" customFormat="false" ht="15" hidden="false" customHeight="false" outlineLevel="0" collapsed="false">
      <c r="A110" s="19" t="n">
        <f aca="false">103</f>
        <v>103</v>
      </c>
      <c r="B110" s="27" t="n">
        <f aca="false">IF(L109&lt;=0,0,Debts!$D$16+Debts!$B$4)</f>
        <v>0</v>
      </c>
      <c r="C110" s="22" t="n">
        <f aca="false">IF(C109&lt;=0,0,MAX(0,C109*(1+Debts!$C$8/12)-MIN(C109*(1+Debts!$C$8/12),Debts!$D$8)-IF(AND(C109&gt;0,Debts!$E$8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D110" s="22" t="n">
        <f aca="false">IF(D109&lt;=0,0,MAX(0,D109*(1+Debts!$C$9/12)-MIN(D109*(1+Debts!$C$9/12),Debts!$D$9)-IF(AND(D109&gt;0,Debts!$E$9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E110" s="22" t="n">
        <f aca="false">IF(E109&lt;=0,0,MAX(0,E109*(1+Debts!$C$10/12)-MIN(E109*(1+Debts!$C$10/12),Debts!$D$10)-IF(AND(E109&gt;0,Debts!$E$10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F110" s="22" t="n">
        <f aca="false">IF(F109&lt;=0,0,MAX(0,F109*(1+Debts!$C$11/12)-MIN(F109*(1+Debts!$C$11/12),Debts!$D$11)-IF(AND(F109&gt;0,Debts!$E$11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G110" s="22" t="n">
        <f aca="false">IF(G109&lt;=0,0,MAX(0,G109*(1+Debts!$C$12/12)-MIN(G109*(1+Debts!$C$12/12),Debts!$D$12)-IF(AND(G109&gt;0,Debts!$E$12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H110" s="22" t="n">
        <f aca="false">IF(H109&lt;=0,0,MAX(0,H109*(1+Debts!$C$13/12)-MIN(H109*(1+Debts!$C$13/12),Debts!$D$13)-IF(AND(H109&gt;0,Debts!$E$13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I110" s="22" t="n">
        <f aca="false">IF(I109&lt;=0,0,MAX(0,I109*(1+Debts!$C$14/12)-MIN(I109*(1+Debts!$C$14/12),Debts!$D$14)-IF(AND(I109&gt;0,Debts!$E$14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J110" s="22" t="n">
        <f aca="false">IF(J109&lt;=0,0,MAX(0,J109*(1+Debts!$C$15/12)-MIN(J109*(1+Debts!$C$15/12),Debts!$D$15)-IF(AND(J109&gt;0,Debts!$E$15=MIN(IF(C109&gt;0,Debts!$E$8,999),IF(D109&gt;0,Debts!$E$9,999),IF(E109&gt;0,Debts!$E$10,999),IF(F109&gt;0,Debts!$E$11,999),IF(G109&gt;0,Debts!$E$12,999),IF(H109&gt;0,Debts!$E$13,999),IF(I109&gt;0,Debts!$E$14,999),IF(J109&gt;0,Debts!$E$15,999))),MAX(0,(B110-(MIN(C109+0,C109*(1+Debts!$C$8/12))*0+MIN(C109*(1+Debts!$C$8/12),Debts!$D$8)+MIN(C109+0,D109*(1+Debts!$C$9/12))*0+MIN(D109*(1+Debts!$C$9/12),Debts!$D$9)+MIN(C109+0,E109*(1+Debts!$C$10/12))*0+MIN(E109*(1+Debts!$C$10/12),Debts!$D$10)+MIN(C109+0,F109*(1+Debts!$C$11/12))*0+MIN(F109*(1+Debts!$C$11/12),Debts!$D$11)+MIN(C109+0,G109*(1+Debts!$C$12/12))*0+MIN(G109*(1+Debts!$C$12/12),Debts!$D$12)+MIN(C109+0,H109*(1+Debts!$C$13/12))*0+MIN(H109*(1+Debts!$C$13/12),Debts!$D$13)+MIN(C109+0,I109*(1+Debts!$C$14/12))*0+MIN(I109*(1+Debts!$C$14/12),Debts!$D$14)+MIN(C109+0,J109*(1+Debts!$C$15/12))*0+MIN(J109*(1+Debts!$C$15/12),Debts!$D$15)))),0)))</f>
        <v>0</v>
      </c>
      <c r="K110" s="22" t="n">
        <f aca="false">IF(C109&gt;0,C109*Debts!$C$8/12,0)+IF(D109&gt;0,D109*Debts!$C$9/12,0)+IF(E109&gt;0,E109*Debts!$C$10/12,0)+IF(F109&gt;0,F109*Debts!$C$11/12,0)+IF(G109&gt;0,G109*Debts!$C$12/12,0)+IF(H109&gt;0,H109*Debts!$C$13/12,0)+IF(I109&gt;0,I109*Debts!$C$14/12,0)+IF(J109&gt;0,J109*Debts!$C$15/12,0)</f>
        <v>0</v>
      </c>
      <c r="L110" s="22" t="n">
        <f aca="false">SUM(C110:J110)</f>
        <v>0</v>
      </c>
    </row>
    <row r="111" customFormat="false" ht="15" hidden="false" customHeight="false" outlineLevel="0" collapsed="false">
      <c r="A111" s="19" t="n">
        <f aca="false">104</f>
        <v>104</v>
      </c>
      <c r="B111" s="27" t="n">
        <f aca="false">IF(L110&lt;=0,0,Debts!$D$16+Debts!$B$4)</f>
        <v>0</v>
      </c>
      <c r="C111" s="22" t="n">
        <f aca="false">IF(C110&lt;=0,0,MAX(0,C110*(1+Debts!$C$8/12)-MIN(C110*(1+Debts!$C$8/12),Debts!$D$8)-IF(AND(C110&gt;0,Debts!$E$8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D111" s="22" t="n">
        <f aca="false">IF(D110&lt;=0,0,MAX(0,D110*(1+Debts!$C$9/12)-MIN(D110*(1+Debts!$C$9/12),Debts!$D$9)-IF(AND(D110&gt;0,Debts!$E$9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E111" s="22" t="n">
        <f aca="false">IF(E110&lt;=0,0,MAX(0,E110*(1+Debts!$C$10/12)-MIN(E110*(1+Debts!$C$10/12),Debts!$D$10)-IF(AND(E110&gt;0,Debts!$E$10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F111" s="22" t="n">
        <f aca="false">IF(F110&lt;=0,0,MAX(0,F110*(1+Debts!$C$11/12)-MIN(F110*(1+Debts!$C$11/12),Debts!$D$11)-IF(AND(F110&gt;0,Debts!$E$11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G111" s="22" t="n">
        <f aca="false">IF(G110&lt;=0,0,MAX(0,G110*(1+Debts!$C$12/12)-MIN(G110*(1+Debts!$C$12/12),Debts!$D$12)-IF(AND(G110&gt;0,Debts!$E$12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H111" s="22" t="n">
        <f aca="false">IF(H110&lt;=0,0,MAX(0,H110*(1+Debts!$C$13/12)-MIN(H110*(1+Debts!$C$13/12),Debts!$D$13)-IF(AND(H110&gt;0,Debts!$E$13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I111" s="22" t="n">
        <f aca="false">IF(I110&lt;=0,0,MAX(0,I110*(1+Debts!$C$14/12)-MIN(I110*(1+Debts!$C$14/12),Debts!$D$14)-IF(AND(I110&gt;0,Debts!$E$14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J111" s="22" t="n">
        <f aca="false">IF(J110&lt;=0,0,MAX(0,J110*(1+Debts!$C$15/12)-MIN(J110*(1+Debts!$C$15/12),Debts!$D$15)-IF(AND(J110&gt;0,Debts!$E$15=MIN(IF(C110&gt;0,Debts!$E$8,999),IF(D110&gt;0,Debts!$E$9,999),IF(E110&gt;0,Debts!$E$10,999),IF(F110&gt;0,Debts!$E$11,999),IF(G110&gt;0,Debts!$E$12,999),IF(H110&gt;0,Debts!$E$13,999),IF(I110&gt;0,Debts!$E$14,999),IF(J110&gt;0,Debts!$E$15,999))),MAX(0,(B111-(MIN(C110+0,C110*(1+Debts!$C$8/12))*0+MIN(C110*(1+Debts!$C$8/12),Debts!$D$8)+MIN(C110+0,D110*(1+Debts!$C$9/12))*0+MIN(D110*(1+Debts!$C$9/12),Debts!$D$9)+MIN(C110+0,E110*(1+Debts!$C$10/12))*0+MIN(E110*(1+Debts!$C$10/12),Debts!$D$10)+MIN(C110+0,F110*(1+Debts!$C$11/12))*0+MIN(F110*(1+Debts!$C$11/12),Debts!$D$11)+MIN(C110+0,G110*(1+Debts!$C$12/12))*0+MIN(G110*(1+Debts!$C$12/12),Debts!$D$12)+MIN(C110+0,H110*(1+Debts!$C$13/12))*0+MIN(H110*(1+Debts!$C$13/12),Debts!$D$13)+MIN(C110+0,I110*(1+Debts!$C$14/12))*0+MIN(I110*(1+Debts!$C$14/12),Debts!$D$14)+MIN(C110+0,J110*(1+Debts!$C$15/12))*0+MIN(J110*(1+Debts!$C$15/12),Debts!$D$15)))),0)))</f>
        <v>0</v>
      </c>
      <c r="K111" s="22" t="n">
        <f aca="false">IF(C110&gt;0,C110*Debts!$C$8/12,0)+IF(D110&gt;0,D110*Debts!$C$9/12,0)+IF(E110&gt;0,E110*Debts!$C$10/12,0)+IF(F110&gt;0,F110*Debts!$C$11/12,0)+IF(G110&gt;0,G110*Debts!$C$12/12,0)+IF(H110&gt;0,H110*Debts!$C$13/12,0)+IF(I110&gt;0,I110*Debts!$C$14/12,0)+IF(J110&gt;0,J110*Debts!$C$15/12,0)</f>
        <v>0</v>
      </c>
      <c r="L111" s="22" t="n">
        <f aca="false">SUM(C111:J111)</f>
        <v>0</v>
      </c>
    </row>
    <row r="112" customFormat="false" ht="15" hidden="false" customHeight="false" outlineLevel="0" collapsed="false">
      <c r="A112" s="19" t="n">
        <f aca="false">105</f>
        <v>105</v>
      </c>
      <c r="B112" s="27" t="n">
        <f aca="false">IF(L111&lt;=0,0,Debts!$D$16+Debts!$B$4)</f>
        <v>0</v>
      </c>
      <c r="C112" s="22" t="n">
        <f aca="false">IF(C111&lt;=0,0,MAX(0,C111*(1+Debts!$C$8/12)-MIN(C111*(1+Debts!$C$8/12),Debts!$D$8)-IF(AND(C111&gt;0,Debts!$E$8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D112" s="22" t="n">
        <f aca="false">IF(D111&lt;=0,0,MAX(0,D111*(1+Debts!$C$9/12)-MIN(D111*(1+Debts!$C$9/12),Debts!$D$9)-IF(AND(D111&gt;0,Debts!$E$9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E112" s="22" t="n">
        <f aca="false">IF(E111&lt;=0,0,MAX(0,E111*(1+Debts!$C$10/12)-MIN(E111*(1+Debts!$C$10/12),Debts!$D$10)-IF(AND(E111&gt;0,Debts!$E$10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F112" s="22" t="n">
        <f aca="false">IF(F111&lt;=0,0,MAX(0,F111*(1+Debts!$C$11/12)-MIN(F111*(1+Debts!$C$11/12),Debts!$D$11)-IF(AND(F111&gt;0,Debts!$E$11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G112" s="22" t="n">
        <f aca="false">IF(G111&lt;=0,0,MAX(0,G111*(1+Debts!$C$12/12)-MIN(G111*(1+Debts!$C$12/12),Debts!$D$12)-IF(AND(G111&gt;0,Debts!$E$12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H112" s="22" t="n">
        <f aca="false">IF(H111&lt;=0,0,MAX(0,H111*(1+Debts!$C$13/12)-MIN(H111*(1+Debts!$C$13/12),Debts!$D$13)-IF(AND(H111&gt;0,Debts!$E$13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I112" s="22" t="n">
        <f aca="false">IF(I111&lt;=0,0,MAX(0,I111*(1+Debts!$C$14/12)-MIN(I111*(1+Debts!$C$14/12),Debts!$D$14)-IF(AND(I111&gt;0,Debts!$E$14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J112" s="22" t="n">
        <f aca="false">IF(J111&lt;=0,0,MAX(0,J111*(1+Debts!$C$15/12)-MIN(J111*(1+Debts!$C$15/12),Debts!$D$15)-IF(AND(J111&gt;0,Debts!$E$15=MIN(IF(C111&gt;0,Debts!$E$8,999),IF(D111&gt;0,Debts!$E$9,999),IF(E111&gt;0,Debts!$E$10,999),IF(F111&gt;0,Debts!$E$11,999),IF(G111&gt;0,Debts!$E$12,999),IF(H111&gt;0,Debts!$E$13,999),IF(I111&gt;0,Debts!$E$14,999),IF(J111&gt;0,Debts!$E$15,999))),MAX(0,(B112-(MIN(C111+0,C111*(1+Debts!$C$8/12))*0+MIN(C111*(1+Debts!$C$8/12),Debts!$D$8)+MIN(C111+0,D111*(1+Debts!$C$9/12))*0+MIN(D111*(1+Debts!$C$9/12),Debts!$D$9)+MIN(C111+0,E111*(1+Debts!$C$10/12))*0+MIN(E111*(1+Debts!$C$10/12),Debts!$D$10)+MIN(C111+0,F111*(1+Debts!$C$11/12))*0+MIN(F111*(1+Debts!$C$11/12),Debts!$D$11)+MIN(C111+0,G111*(1+Debts!$C$12/12))*0+MIN(G111*(1+Debts!$C$12/12),Debts!$D$12)+MIN(C111+0,H111*(1+Debts!$C$13/12))*0+MIN(H111*(1+Debts!$C$13/12),Debts!$D$13)+MIN(C111+0,I111*(1+Debts!$C$14/12))*0+MIN(I111*(1+Debts!$C$14/12),Debts!$D$14)+MIN(C111+0,J111*(1+Debts!$C$15/12))*0+MIN(J111*(1+Debts!$C$15/12),Debts!$D$15)))),0)))</f>
        <v>0</v>
      </c>
      <c r="K112" s="22" t="n">
        <f aca="false">IF(C111&gt;0,C111*Debts!$C$8/12,0)+IF(D111&gt;0,D111*Debts!$C$9/12,0)+IF(E111&gt;0,E111*Debts!$C$10/12,0)+IF(F111&gt;0,F111*Debts!$C$11/12,0)+IF(G111&gt;0,G111*Debts!$C$12/12,0)+IF(H111&gt;0,H111*Debts!$C$13/12,0)+IF(I111&gt;0,I111*Debts!$C$14/12,0)+IF(J111&gt;0,J111*Debts!$C$15/12,0)</f>
        <v>0</v>
      </c>
      <c r="L112" s="22" t="n">
        <f aca="false">SUM(C112:J112)</f>
        <v>0</v>
      </c>
    </row>
    <row r="113" customFormat="false" ht="15" hidden="false" customHeight="false" outlineLevel="0" collapsed="false">
      <c r="A113" s="19" t="n">
        <f aca="false">106</f>
        <v>106</v>
      </c>
      <c r="B113" s="27" t="n">
        <f aca="false">IF(L112&lt;=0,0,Debts!$D$16+Debts!$B$4)</f>
        <v>0</v>
      </c>
      <c r="C113" s="22" t="n">
        <f aca="false">IF(C112&lt;=0,0,MAX(0,C112*(1+Debts!$C$8/12)-MIN(C112*(1+Debts!$C$8/12),Debts!$D$8)-IF(AND(C112&gt;0,Debts!$E$8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D113" s="22" t="n">
        <f aca="false">IF(D112&lt;=0,0,MAX(0,D112*(1+Debts!$C$9/12)-MIN(D112*(1+Debts!$C$9/12),Debts!$D$9)-IF(AND(D112&gt;0,Debts!$E$9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E113" s="22" t="n">
        <f aca="false">IF(E112&lt;=0,0,MAX(0,E112*(1+Debts!$C$10/12)-MIN(E112*(1+Debts!$C$10/12),Debts!$D$10)-IF(AND(E112&gt;0,Debts!$E$10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F113" s="22" t="n">
        <f aca="false">IF(F112&lt;=0,0,MAX(0,F112*(1+Debts!$C$11/12)-MIN(F112*(1+Debts!$C$11/12),Debts!$D$11)-IF(AND(F112&gt;0,Debts!$E$11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G113" s="22" t="n">
        <f aca="false">IF(G112&lt;=0,0,MAX(0,G112*(1+Debts!$C$12/12)-MIN(G112*(1+Debts!$C$12/12),Debts!$D$12)-IF(AND(G112&gt;0,Debts!$E$12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H113" s="22" t="n">
        <f aca="false">IF(H112&lt;=0,0,MAX(0,H112*(1+Debts!$C$13/12)-MIN(H112*(1+Debts!$C$13/12),Debts!$D$13)-IF(AND(H112&gt;0,Debts!$E$13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I113" s="22" t="n">
        <f aca="false">IF(I112&lt;=0,0,MAX(0,I112*(1+Debts!$C$14/12)-MIN(I112*(1+Debts!$C$14/12),Debts!$D$14)-IF(AND(I112&gt;0,Debts!$E$14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J113" s="22" t="n">
        <f aca="false">IF(J112&lt;=0,0,MAX(0,J112*(1+Debts!$C$15/12)-MIN(J112*(1+Debts!$C$15/12),Debts!$D$15)-IF(AND(J112&gt;0,Debts!$E$15=MIN(IF(C112&gt;0,Debts!$E$8,999),IF(D112&gt;0,Debts!$E$9,999),IF(E112&gt;0,Debts!$E$10,999),IF(F112&gt;0,Debts!$E$11,999),IF(G112&gt;0,Debts!$E$12,999),IF(H112&gt;0,Debts!$E$13,999),IF(I112&gt;0,Debts!$E$14,999),IF(J112&gt;0,Debts!$E$15,999))),MAX(0,(B113-(MIN(C112+0,C112*(1+Debts!$C$8/12))*0+MIN(C112*(1+Debts!$C$8/12),Debts!$D$8)+MIN(C112+0,D112*(1+Debts!$C$9/12))*0+MIN(D112*(1+Debts!$C$9/12),Debts!$D$9)+MIN(C112+0,E112*(1+Debts!$C$10/12))*0+MIN(E112*(1+Debts!$C$10/12),Debts!$D$10)+MIN(C112+0,F112*(1+Debts!$C$11/12))*0+MIN(F112*(1+Debts!$C$11/12),Debts!$D$11)+MIN(C112+0,G112*(1+Debts!$C$12/12))*0+MIN(G112*(1+Debts!$C$12/12),Debts!$D$12)+MIN(C112+0,H112*(1+Debts!$C$13/12))*0+MIN(H112*(1+Debts!$C$13/12),Debts!$D$13)+MIN(C112+0,I112*(1+Debts!$C$14/12))*0+MIN(I112*(1+Debts!$C$14/12),Debts!$D$14)+MIN(C112+0,J112*(1+Debts!$C$15/12))*0+MIN(J112*(1+Debts!$C$15/12),Debts!$D$15)))),0)))</f>
        <v>0</v>
      </c>
      <c r="K113" s="22" t="n">
        <f aca="false">IF(C112&gt;0,C112*Debts!$C$8/12,0)+IF(D112&gt;0,D112*Debts!$C$9/12,0)+IF(E112&gt;0,E112*Debts!$C$10/12,0)+IF(F112&gt;0,F112*Debts!$C$11/12,0)+IF(G112&gt;0,G112*Debts!$C$12/12,0)+IF(H112&gt;0,H112*Debts!$C$13/12,0)+IF(I112&gt;0,I112*Debts!$C$14/12,0)+IF(J112&gt;0,J112*Debts!$C$15/12,0)</f>
        <v>0</v>
      </c>
      <c r="L113" s="22" t="n">
        <f aca="false">SUM(C113:J113)</f>
        <v>0</v>
      </c>
    </row>
    <row r="114" customFormat="false" ht="15" hidden="false" customHeight="false" outlineLevel="0" collapsed="false">
      <c r="A114" s="19" t="n">
        <f aca="false">107</f>
        <v>107</v>
      </c>
      <c r="B114" s="27" t="n">
        <f aca="false">IF(L113&lt;=0,0,Debts!$D$16+Debts!$B$4)</f>
        <v>0</v>
      </c>
      <c r="C114" s="22" t="n">
        <f aca="false">IF(C113&lt;=0,0,MAX(0,C113*(1+Debts!$C$8/12)-MIN(C113*(1+Debts!$C$8/12),Debts!$D$8)-IF(AND(C113&gt;0,Debts!$E$8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D114" s="22" t="n">
        <f aca="false">IF(D113&lt;=0,0,MAX(0,D113*(1+Debts!$C$9/12)-MIN(D113*(1+Debts!$C$9/12),Debts!$D$9)-IF(AND(D113&gt;0,Debts!$E$9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E114" s="22" t="n">
        <f aca="false">IF(E113&lt;=0,0,MAX(0,E113*(1+Debts!$C$10/12)-MIN(E113*(1+Debts!$C$10/12),Debts!$D$10)-IF(AND(E113&gt;0,Debts!$E$10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F114" s="22" t="n">
        <f aca="false">IF(F113&lt;=0,0,MAX(0,F113*(1+Debts!$C$11/12)-MIN(F113*(1+Debts!$C$11/12),Debts!$D$11)-IF(AND(F113&gt;0,Debts!$E$11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G114" s="22" t="n">
        <f aca="false">IF(G113&lt;=0,0,MAX(0,G113*(1+Debts!$C$12/12)-MIN(G113*(1+Debts!$C$12/12),Debts!$D$12)-IF(AND(G113&gt;0,Debts!$E$12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H114" s="22" t="n">
        <f aca="false">IF(H113&lt;=0,0,MAX(0,H113*(1+Debts!$C$13/12)-MIN(H113*(1+Debts!$C$13/12),Debts!$D$13)-IF(AND(H113&gt;0,Debts!$E$13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I114" s="22" t="n">
        <f aca="false">IF(I113&lt;=0,0,MAX(0,I113*(1+Debts!$C$14/12)-MIN(I113*(1+Debts!$C$14/12),Debts!$D$14)-IF(AND(I113&gt;0,Debts!$E$14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J114" s="22" t="n">
        <f aca="false">IF(J113&lt;=0,0,MAX(0,J113*(1+Debts!$C$15/12)-MIN(J113*(1+Debts!$C$15/12),Debts!$D$15)-IF(AND(J113&gt;0,Debts!$E$15=MIN(IF(C113&gt;0,Debts!$E$8,999),IF(D113&gt;0,Debts!$E$9,999),IF(E113&gt;0,Debts!$E$10,999),IF(F113&gt;0,Debts!$E$11,999),IF(G113&gt;0,Debts!$E$12,999),IF(H113&gt;0,Debts!$E$13,999),IF(I113&gt;0,Debts!$E$14,999),IF(J113&gt;0,Debts!$E$15,999))),MAX(0,(B114-(MIN(C113+0,C113*(1+Debts!$C$8/12))*0+MIN(C113*(1+Debts!$C$8/12),Debts!$D$8)+MIN(C113+0,D113*(1+Debts!$C$9/12))*0+MIN(D113*(1+Debts!$C$9/12),Debts!$D$9)+MIN(C113+0,E113*(1+Debts!$C$10/12))*0+MIN(E113*(1+Debts!$C$10/12),Debts!$D$10)+MIN(C113+0,F113*(1+Debts!$C$11/12))*0+MIN(F113*(1+Debts!$C$11/12),Debts!$D$11)+MIN(C113+0,G113*(1+Debts!$C$12/12))*0+MIN(G113*(1+Debts!$C$12/12),Debts!$D$12)+MIN(C113+0,H113*(1+Debts!$C$13/12))*0+MIN(H113*(1+Debts!$C$13/12),Debts!$D$13)+MIN(C113+0,I113*(1+Debts!$C$14/12))*0+MIN(I113*(1+Debts!$C$14/12),Debts!$D$14)+MIN(C113+0,J113*(1+Debts!$C$15/12))*0+MIN(J113*(1+Debts!$C$15/12),Debts!$D$15)))),0)))</f>
        <v>0</v>
      </c>
      <c r="K114" s="22" t="n">
        <f aca="false">IF(C113&gt;0,C113*Debts!$C$8/12,0)+IF(D113&gt;0,D113*Debts!$C$9/12,0)+IF(E113&gt;0,E113*Debts!$C$10/12,0)+IF(F113&gt;0,F113*Debts!$C$11/12,0)+IF(G113&gt;0,G113*Debts!$C$12/12,0)+IF(H113&gt;0,H113*Debts!$C$13/12,0)+IF(I113&gt;0,I113*Debts!$C$14/12,0)+IF(J113&gt;0,J113*Debts!$C$15/12,0)</f>
        <v>0</v>
      </c>
      <c r="L114" s="22" t="n">
        <f aca="false">SUM(C114:J114)</f>
        <v>0</v>
      </c>
    </row>
    <row r="115" customFormat="false" ht="15" hidden="false" customHeight="false" outlineLevel="0" collapsed="false">
      <c r="A115" s="19" t="n">
        <f aca="false">108</f>
        <v>108</v>
      </c>
      <c r="B115" s="27" t="n">
        <f aca="false">IF(L114&lt;=0,0,Debts!$D$16+Debts!$B$4)</f>
        <v>0</v>
      </c>
      <c r="C115" s="22" t="n">
        <f aca="false">IF(C114&lt;=0,0,MAX(0,C114*(1+Debts!$C$8/12)-MIN(C114*(1+Debts!$C$8/12),Debts!$D$8)-IF(AND(C114&gt;0,Debts!$E$8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D115" s="22" t="n">
        <f aca="false">IF(D114&lt;=0,0,MAX(0,D114*(1+Debts!$C$9/12)-MIN(D114*(1+Debts!$C$9/12),Debts!$D$9)-IF(AND(D114&gt;0,Debts!$E$9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E115" s="22" t="n">
        <f aca="false">IF(E114&lt;=0,0,MAX(0,E114*(1+Debts!$C$10/12)-MIN(E114*(1+Debts!$C$10/12),Debts!$D$10)-IF(AND(E114&gt;0,Debts!$E$10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F115" s="22" t="n">
        <f aca="false">IF(F114&lt;=0,0,MAX(0,F114*(1+Debts!$C$11/12)-MIN(F114*(1+Debts!$C$11/12),Debts!$D$11)-IF(AND(F114&gt;0,Debts!$E$11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G115" s="22" t="n">
        <f aca="false">IF(G114&lt;=0,0,MAX(0,G114*(1+Debts!$C$12/12)-MIN(G114*(1+Debts!$C$12/12),Debts!$D$12)-IF(AND(G114&gt;0,Debts!$E$12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H115" s="22" t="n">
        <f aca="false">IF(H114&lt;=0,0,MAX(0,H114*(1+Debts!$C$13/12)-MIN(H114*(1+Debts!$C$13/12),Debts!$D$13)-IF(AND(H114&gt;0,Debts!$E$13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I115" s="22" t="n">
        <f aca="false">IF(I114&lt;=0,0,MAX(0,I114*(1+Debts!$C$14/12)-MIN(I114*(1+Debts!$C$14/12),Debts!$D$14)-IF(AND(I114&gt;0,Debts!$E$14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J115" s="22" t="n">
        <f aca="false">IF(J114&lt;=0,0,MAX(0,J114*(1+Debts!$C$15/12)-MIN(J114*(1+Debts!$C$15/12),Debts!$D$15)-IF(AND(J114&gt;0,Debts!$E$15=MIN(IF(C114&gt;0,Debts!$E$8,999),IF(D114&gt;0,Debts!$E$9,999),IF(E114&gt;0,Debts!$E$10,999),IF(F114&gt;0,Debts!$E$11,999),IF(G114&gt;0,Debts!$E$12,999),IF(H114&gt;0,Debts!$E$13,999),IF(I114&gt;0,Debts!$E$14,999),IF(J114&gt;0,Debts!$E$15,999))),MAX(0,(B115-(MIN(C114+0,C114*(1+Debts!$C$8/12))*0+MIN(C114*(1+Debts!$C$8/12),Debts!$D$8)+MIN(C114+0,D114*(1+Debts!$C$9/12))*0+MIN(D114*(1+Debts!$C$9/12),Debts!$D$9)+MIN(C114+0,E114*(1+Debts!$C$10/12))*0+MIN(E114*(1+Debts!$C$10/12),Debts!$D$10)+MIN(C114+0,F114*(1+Debts!$C$11/12))*0+MIN(F114*(1+Debts!$C$11/12),Debts!$D$11)+MIN(C114+0,G114*(1+Debts!$C$12/12))*0+MIN(G114*(1+Debts!$C$12/12),Debts!$D$12)+MIN(C114+0,H114*(1+Debts!$C$13/12))*0+MIN(H114*(1+Debts!$C$13/12),Debts!$D$13)+MIN(C114+0,I114*(1+Debts!$C$14/12))*0+MIN(I114*(1+Debts!$C$14/12),Debts!$D$14)+MIN(C114+0,J114*(1+Debts!$C$15/12))*0+MIN(J114*(1+Debts!$C$15/12),Debts!$D$15)))),0)))</f>
        <v>0</v>
      </c>
      <c r="K115" s="22" t="n">
        <f aca="false">IF(C114&gt;0,C114*Debts!$C$8/12,0)+IF(D114&gt;0,D114*Debts!$C$9/12,0)+IF(E114&gt;0,E114*Debts!$C$10/12,0)+IF(F114&gt;0,F114*Debts!$C$11/12,0)+IF(G114&gt;0,G114*Debts!$C$12/12,0)+IF(H114&gt;0,H114*Debts!$C$13/12,0)+IF(I114&gt;0,I114*Debts!$C$14/12,0)+IF(J114&gt;0,J114*Debts!$C$15/12,0)</f>
        <v>0</v>
      </c>
      <c r="L115" s="22" t="n">
        <f aca="false">SUM(C115:J115)</f>
        <v>0</v>
      </c>
    </row>
    <row r="116" customFormat="false" ht="15" hidden="false" customHeight="false" outlineLevel="0" collapsed="false">
      <c r="A116" s="19" t="n">
        <f aca="false">109</f>
        <v>109</v>
      </c>
      <c r="B116" s="27" t="n">
        <f aca="false">IF(L115&lt;=0,0,Debts!$D$16+Debts!$B$4)</f>
        <v>0</v>
      </c>
      <c r="C116" s="22" t="n">
        <f aca="false">IF(C115&lt;=0,0,MAX(0,C115*(1+Debts!$C$8/12)-MIN(C115*(1+Debts!$C$8/12),Debts!$D$8)-IF(AND(C115&gt;0,Debts!$E$8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D116" s="22" t="n">
        <f aca="false">IF(D115&lt;=0,0,MAX(0,D115*(1+Debts!$C$9/12)-MIN(D115*(1+Debts!$C$9/12),Debts!$D$9)-IF(AND(D115&gt;0,Debts!$E$9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E116" s="22" t="n">
        <f aca="false">IF(E115&lt;=0,0,MAX(0,E115*(1+Debts!$C$10/12)-MIN(E115*(1+Debts!$C$10/12),Debts!$D$10)-IF(AND(E115&gt;0,Debts!$E$10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F116" s="22" t="n">
        <f aca="false">IF(F115&lt;=0,0,MAX(0,F115*(1+Debts!$C$11/12)-MIN(F115*(1+Debts!$C$11/12),Debts!$D$11)-IF(AND(F115&gt;0,Debts!$E$11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G116" s="22" t="n">
        <f aca="false">IF(G115&lt;=0,0,MAX(0,G115*(1+Debts!$C$12/12)-MIN(G115*(1+Debts!$C$12/12),Debts!$D$12)-IF(AND(G115&gt;0,Debts!$E$12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H116" s="22" t="n">
        <f aca="false">IF(H115&lt;=0,0,MAX(0,H115*(1+Debts!$C$13/12)-MIN(H115*(1+Debts!$C$13/12),Debts!$D$13)-IF(AND(H115&gt;0,Debts!$E$13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I116" s="22" t="n">
        <f aca="false">IF(I115&lt;=0,0,MAX(0,I115*(1+Debts!$C$14/12)-MIN(I115*(1+Debts!$C$14/12),Debts!$D$14)-IF(AND(I115&gt;0,Debts!$E$14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J116" s="22" t="n">
        <f aca="false">IF(J115&lt;=0,0,MAX(0,J115*(1+Debts!$C$15/12)-MIN(J115*(1+Debts!$C$15/12),Debts!$D$15)-IF(AND(J115&gt;0,Debts!$E$15=MIN(IF(C115&gt;0,Debts!$E$8,999),IF(D115&gt;0,Debts!$E$9,999),IF(E115&gt;0,Debts!$E$10,999),IF(F115&gt;0,Debts!$E$11,999),IF(G115&gt;0,Debts!$E$12,999),IF(H115&gt;0,Debts!$E$13,999),IF(I115&gt;0,Debts!$E$14,999),IF(J115&gt;0,Debts!$E$15,999))),MAX(0,(B116-(MIN(C115+0,C115*(1+Debts!$C$8/12))*0+MIN(C115*(1+Debts!$C$8/12),Debts!$D$8)+MIN(C115+0,D115*(1+Debts!$C$9/12))*0+MIN(D115*(1+Debts!$C$9/12),Debts!$D$9)+MIN(C115+0,E115*(1+Debts!$C$10/12))*0+MIN(E115*(1+Debts!$C$10/12),Debts!$D$10)+MIN(C115+0,F115*(1+Debts!$C$11/12))*0+MIN(F115*(1+Debts!$C$11/12),Debts!$D$11)+MIN(C115+0,G115*(1+Debts!$C$12/12))*0+MIN(G115*(1+Debts!$C$12/12),Debts!$D$12)+MIN(C115+0,H115*(1+Debts!$C$13/12))*0+MIN(H115*(1+Debts!$C$13/12),Debts!$D$13)+MIN(C115+0,I115*(1+Debts!$C$14/12))*0+MIN(I115*(1+Debts!$C$14/12),Debts!$D$14)+MIN(C115+0,J115*(1+Debts!$C$15/12))*0+MIN(J115*(1+Debts!$C$15/12),Debts!$D$15)))),0)))</f>
        <v>0</v>
      </c>
      <c r="K116" s="22" t="n">
        <f aca="false">IF(C115&gt;0,C115*Debts!$C$8/12,0)+IF(D115&gt;0,D115*Debts!$C$9/12,0)+IF(E115&gt;0,E115*Debts!$C$10/12,0)+IF(F115&gt;0,F115*Debts!$C$11/12,0)+IF(G115&gt;0,G115*Debts!$C$12/12,0)+IF(H115&gt;0,H115*Debts!$C$13/12,0)+IF(I115&gt;0,I115*Debts!$C$14/12,0)+IF(J115&gt;0,J115*Debts!$C$15/12,0)</f>
        <v>0</v>
      </c>
      <c r="L116" s="22" t="n">
        <f aca="false">SUM(C116:J116)</f>
        <v>0</v>
      </c>
    </row>
    <row r="117" customFormat="false" ht="15" hidden="false" customHeight="false" outlineLevel="0" collapsed="false">
      <c r="A117" s="19" t="n">
        <f aca="false">110</f>
        <v>110</v>
      </c>
      <c r="B117" s="27" t="n">
        <f aca="false">IF(L116&lt;=0,0,Debts!$D$16+Debts!$B$4)</f>
        <v>0</v>
      </c>
      <c r="C117" s="22" t="n">
        <f aca="false">IF(C116&lt;=0,0,MAX(0,C116*(1+Debts!$C$8/12)-MIN(C116*(1+Debts!$C$8/12),Debts!$D$8)-IF(AND(C116&gt;0,Debts!$E$8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D117" s="22" t="n">
        <f aca="false">IF(D116&lt;=0,0,MAX(0,D116*(1+Debts!$C$9/12)-MIN(D116*(1+Debts!$C$9/12),Debts!$D$9)-IF(AND(D116&gt;0,Debts!$E$9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E117" s="22" t="n">
        <f aca="false">IF(E116&lt;=0,0,MAX(0,E116*(1+Debts!$C$10/12)-MIN(E116*(1+Debts!$C$10/12),Debts!$D$10)-IF(AND(E116&gt;0,Debts!$E$10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F117" s="22" t="n">
        <f aca="false">IF(F116&lt;=0,0,MAX(0,F116*(1+Debts!$C$11/12)-MIN(F116*(1+Debts!$C$11/12),Debts!$D$11)-IF(AND(F116&gt;0,Debts!$E$11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G117" s="22" t="n">
        <f aca="false">IF(G116&lt;=0,0,MAX(0,G116*(1+Debts!$C$12/12)-MIN(G116*(1+Debts!$C$12/12),Debts!$D$12)-IF(AND(G116&gt;0,Debts!$E$12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H117" s="22" t="n">
        <f aca="false">IF(H116&lt;=0,0,MAX(0,H116*(1+Debts!$C$13/12)-MIN(H116*(1+Debts!$C$13/12),Debts!$D$13)-IF(AND(H116&gt;0,Debts!$E$13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I117" s="22" t="n">
        <f aca="false">IF(I116&lt;=0,0,MAX(0,I116*(1+Debts!$C$14/12)-MIN(I116*(1+Debts!$C$14/12),Debts!$D$14)-IF(AND(I116&gt;0,Debts!$E$14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J117" s="22" t="n">
        <f aca="false">IF(J116&lt;=0,0,MAX(0,J116*(1+Debts!$C$15/12)-MIN(J116*(1+Debts!$C$15/12),Debts!$D$15)-IF(AND(J116&gt;0,Debts!$E$15=MIN(IF(C116&gt;0,Debts!$E$8,999),IF(D116&gt;0,Debts!$E$9,999),IF(E116&gt;0,Debts!$E$10,999),IF(F116&gt;0,Debts!$E$11,999),IF(G116&gt;0,Debts!$E$12,999),IF(H116&gt;0,Debts!$E$13,999),IF(I116&gt;0,Debts!$E$14,999),IF(J116&gt;0,Debts!$E$15,999))),MAX(0,(B117-(MIN(C116+0,C116*(1+Debts!$C$8/12))*0+MIN(C116*(1+Debts!$C$8/12),Debts!$D$8)+MIN(C116+0,D116*(1+Debts!$C$9/12))*0+MIN(D116*(1+Debts!$C$9/12),Debts!$D$9)+MIN(C116+0,E116*(1+Debts!$C$10/12))*0+MIN(E116*(1+Debts!$C$10/12),Debts!$D$10)+MIN(C116+0,F116*(1+Debts!$C$11/12))*0+MIN(F116*(1+Debts!$C$11/12),Debts!$D$11)+MIN(C116+0,G116*(1+Debts!$C$12/12))*0+MIN(G116*(1+Debts!$C$12/12),Debts!$D$12)+MIN(C116+0,H116*(1+Debts!$C$13/12))*0+MIN(H116*(1+Debts!$C$13/12),Debts!$D$13)+MIN(C116+0,I116*(1+Debts!$C$14/12))*0+MIN(I116*(1+Debts!$C$14/12),Debts!$D$14)+MIN(C116+0,J116*(1+Debts!$C$15/12))*0+MIN(J116*(1+Debts!$C$15/12),Debts!$D$15)))),0)))</f>
        <v>0</v>
      </c>
      <c r="K117" s="22" t="n">
        <f aca="false">IF(C116&gt;0,C116*Debts!$C$8/12,0)+IF(D116&gt;0,D116*Debts!$C$9/12,0)+IF(E116&gt;0,E116*Debts!$C$10/12,0)+IF(F116&gt;0,F116*Debts!$C$11/12,0)+IF(G116&gt;0,G116*Debts!$C$12/12,0)+IF(H116&gt;0,H116*Debts!$C$13/12,0)+IF(I116&gt;0,I116*Debts!$C$14/12,0)+IF(J116&gt;0,J116*Debts!$C$15/12,0)</f>
        <v>0</v>
      </c>
      <c r="L117" s="22" t="n">
        <f aca="false">SUM(C117:J117)</f>
        <v>0</v>
      </c>
    </row>
    <row r="118" customFormat="false" ht="15" hidden="false" customHeight="false" outlineLevel="0" collapsed="false">
      <c r="A118" s="19" t="n">
        <f aca="false">111</f>
        <v>111</v>
      </c>
      <c r="B118" s="27" t="n">
        <f aca="false">IF(L117&lt;=0,0,Debts!$D$16+Debts!$B$4)</f>
        <v>0</v>
      </c>
      <c r="C118" s="22" t="n">
        <f aca="false">IF(C117&lt;=0,0,MAX(0,C117*(1+Debts!$C$8/12)-MIN(C117*(1+Debts!$C$8/12),Debts!$D$8)-IF(AND(C117&gt;0,Debts!$E$8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D118" s="22" t="n">
        <f aca="false">IF(D117&lt;=0,0,MAX(0,D117*(1+Debts!$C$9/12)-MIN(D117*(1+Debts!$C$9/12),Debts!$D$9)-IF(AND(D117&gt;0,Debts!$E$9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E118" s="22" t="n">
        <f aca="false">IF(E117&lt;=0,0,MAX(0,E117*(1+Debts!$C$10/12)-MIN(E117*(1+Debts!$C$10/12),Debts!$D$10)-IF(AND(E117&gt;0,Debts!$E$10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F118" s="22" t="n">
        <f aca="false">IF(F117&lt;=0,0,MAX(0,F117*(1+Debts!$C$11/12)-MIN(F117*(1+Debts!$C$11/12),Debts!$D$11)-IF(AND(F117&gt;0,Debts!$E$11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G118" s="22" t="n">
        <f aca="false">IF(G117&lt;=0,0,MAX(0,G117*(1+Debts!$C$12/12)-MIN(G117*(1+Debts!$C$12/12),Debts!$D$12)-IF(AND(G117&gt;0,Debts!$E$12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H118" s="22" t="n">
        <f aca="false">IF(H117&lt;=0,0,MAX(0,H117*(1+Debts!$C$13/12)-MIN(H117*(1+Debts!$C$13/12),Debts!$D$13)-IF(AND(H117&gt;0,Debts!$E$13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I118" s="22" t="n">
        <f aca="false">IF(I117&lt;=0,0,MAX(0,I117*(1+Debts!$C$14/12)-MIN(I117*(1+Debts!$C$14/12),Debts!$D$14)-IF(AND(I117&gt;0,Debts!$E$14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J118" s="22" t="n">
        <f aca="false">IF(J117&lt;=0,0,MAX(0,J117*(1+Debts!$C$15/12)-MIN(J117*(1+Debts!$C$15/12),Debts!$D$15)-IF(AND(J117&gt;0,Debts!$E$15=MIN(IF(C117&gt;0,Debts!$E$8,999),IF(D117&gt;0,Debts!$E$9,999),IF(E117&gt;0,Debts!$E$10,999),IF(F117&gt;0,Debts!$E$11,999),IF(G117&gt;0,Debts!$E$12,999),IF(H117&gt;0,Debts!$E$13,999),IF(I117&gt;0,Debts!$E$14,999),IF(J117&gt;0,Debts!$E$15,999))),MAX(0,(B118-(MIN(C117+0,C117*(1+Debts!$C$8/12))*0+MIN(C117*(1+Debts!$C$8/12),Debts!$D$8)+MIN(C117+0,D117*(1+Debts!$C$9/12))*0+MIN(D117*(1+Debts!$C$9/12),Debts!$D$9)+MIN(C117+0,E117*(1+Debts!$C$10/12))*0+MIN(E117*(1+Debts!$C$10/12),Debts!$D$10)+MIN(C117+0,F117*(1+Debts!$C$11/12))*0+MIN(F117*(1+Debts!$C$11/12),Debts!$D$11)+MIN(C117+0,G117*(1+Debts!$C$12/12))*0+MIN(G117*(1+Debts!$C$12/12),Debts!$D$12)+MIN(C117+0,H117*(1+Debts!$C$13/12))*0+MIN(H117*(1+Debts!$C$13/12),Debts!$D$13)+MIN(C117+0,I117*(1+Debts!$C$14/12))*0+MIN(I117*(1+Debts!$C$14/12),Debts!$D$14)+MIN(C117+0,J117*(1+Debts!$C$15/12))*0+MIN(J117*(1+Debts!$C$15/12),Debts!$D$15)))),0)))</f>
        <v>0</v>
      </c>
      <c r="K118" s="22" t="n">
        <f aca="false">IF(C117&gt;0,C117*Debts!$C$8/12,0)+IF(D117&gt;0,D117*Debts!$C$9/12,0)+IF(E117&gt;0,E117*Debts!$C$10/12,0)+IF(F117&gt;0,F117*Debts!$C$11/12,0)+IF(G117&gt;0,G117*Debts!$C$12/12,0)+IF(H117&gt;0,H117*Debts!$C$13/12,0)+IF(I117&gt;0,I117*Debts!$C$14/12,0)+IF(J117&gt;0,J117*Debts!$C$15/12,0)</f>
        <v>0</v>
      </c>
      <c r="L118" s="22" t="n">
        <f aca="false">SUM(C118:J118)</f>
        <v>0</v>
      </c>
    </row>
    <row r="119" customFormat="false" ht="15" hidden="false" customHeight="false" outlineLevel="0" collapsed="false">
      <c r="A119" s="19" t="n">
        <f aca="false">112</f>
        <v>112</v>
      </c>
      <c r="B119" s="27" t="n">
        <f aca="false">IF(L118&lt;=0,0,Debts!$D$16+Debts!$B$4)</f>
        <v>0</v>
      </c>
      <c r="C119" s="22" t="n">
        <f aca="false">IF(C118&lt;=0,0,MAX(0,C118*(1+Debts!$C$8/12)-MIN(C118*(1+Debts!$C$8/12),Debts!$D$8)-IF(AND(C118&gt;0,Debts!$E$8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D119" s="22" t="n">
        <f aca="false">IF(D118&lt;=0,0,MAX(0,D118*(1+Debts!$C$9/12)-MIN(D118*(1+Debts!$C$9/12),Debts!$D$9)-IF(AND(D118&gt;0,Debts!$E$9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E119" s="22" t="n">
        <f aca="false">IF(E118&lt;=0,0,MAX(0,E118*(1+Debts!$C$10/12)-MIN(E118*(1+Debts!$C$10/12),Debts!$D$10)-IF(AND(E118&gt;0,Debts!$E$10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F119" s="22" t="n">
        <f aca="false">IF(F118&lt;=0,0,MAX(0,F118*(1+Debts!$C$11/12)-MIN(F118*(1+Debts!$C$11/12),Debts!$D$11)-IF(AND(F118&gt;0,Debts!$E$11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G119" s="22" t="n">
        <f aca="false">IF(G118&lt;=0,0,MAX(0,G118*(1+Debts!$C$12/12)-MIN(G118*(1+Debts!$C$12/12),Debts!$D$12)-IF(AND(G118&gt;0,Debts!$E$12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H119" s="22" t="n">
        <f aca="false">IF(H118&lt;=0,0,MAX(0,H118*(1+Debts!$C$13/12)-MIN(H118*(1+Debts!$C$13/12),Debts!$D$13)-IF(AND(H118&gt;0,Debts!$E$13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I119" s="22" t="n">
        <f aca="false">IF(I118&lt;=0,0,MAX(0,I118*(1+Debts!$C$14/12)-MIN(I118*(1+Debts!$C$14/12),Debts!$D$14)-IF(AND(I118&gt;0,Debts!$E$14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J119" s="22" t="n">
        <f aca="false">IF(J118&lt;=0,0,MAX(0,J118*(1+Debts!$C$15/12)-MIN(J118*(1+Debts!$C$15/12),Debts!$D$15)-IF(AND(J118&gt;0,Debts!$E$15=MIN(IF(C118&gt;0,Debts!$E$8,999),IF(D118&gt;0,Debts!$E$9,999),IF(E118&gt;0,Debts!$E$10,999),IF(F118&gt;0,Debts!$E$11,999),IF(G118&gt;0,Debts!$E$12,999),IF(H118&gt;0,Debts!$E$13,999),IF(I118&gt;0,Debts!$E$14,999),IF(J118&gt;0,Debts!$E$15,999))),MAX(0,(B119-(MIN(C118+0,C118*(1+Debts!$C$8/12))*0+MIN(C118*(1+Debts!$C$8/12),Debts!$D$8)+MIN(C118+0,D118*(1+Debts!$C$9/12))*0+MIN(D118*(1+Debts!$C$9/12),Debts!$D$9)+MIN(C118+0,E118*(1+Debts!$C$10/12))*0+MIN(E118*(1+Debts!$C$10/12),Debts!$D$10)+MIN(C118+0,F118*(1+Debts!$C$11/12))*0+MIN(F118*(1+Debts!$C$11/12),Debts!$D$11)+MIN(C118+0,G118*(1+Debts!$C$12/12))*0+MIN(G118*(1+Debts!$C$12/12),Debts!$D$12)+MIN(C118+0,H118*(1+Debts!$C$13/12))*0+MIN(H118*(1+Debts!$C$13/12),Debts!$D$13)+MIN(C118+0,I118*(1+Debts!$C$14/12))*0+MIN(I118*(1+Debts!$C$14/12),Debts!$D$14)+MIN(C118+0,J118*(1+Debts!$C$15/12))*0+MIN(J118*(1+Debts!$C$15/12),Debts!$D$15)))),0)))</f>
        <v>0</v>
      </c>
      <c r="K119" s="22" t="n">
        <f aca="false">IF(C118&gt;0,C118*Debts!$C$8/12,0)+IF(D118&gt;0,D118*Debts!$C$9/12,0)+IF(E118&gt;0,E118*Debts!$C$10/12,0)+IF(F118&gt;0,F118*Debts!$C$11/12,0)+IF(G118&gt;0,G118*Debts!$C$12/12,0)+IF(H118&gt;0,H118*Debts!$C$13/12,0)+IF(I118&gt;0,I118*Debts!$C$14/12,0)+IF(J118&gt;0,J118*Debts!$C$15/12,0)</f>
        <v>0</v>
      </c>
      <c r="L119" s="22" t="n">
        <f aca="false">SUM(C119:J119)</f>
        <v>0</v>
      </c>
    </row>
    <row r="120" customFormat="false" ht="15" hidden="false" customHeight="false" outlineLevel="0" collapsed="false">
      <c r="A120" s="19" t="n">
        <f aca="false">113</f>
        <v>113</v>
      </c>
      <c r="B120" s="27" t="n">
        <f aca="false">IF(L119&lt;=0,0,Debts!$D$16+Debts!$B$4)</f>
        <v>0</v>
      </c>
      <c r="C120" s="22" t="n">
        <f aca="false">IF(C119&lt;=0,0,MAX(0,C119*(1+Debts!$C$8/12)-MIN(C119*(1+Debts!$C$8/12),Debts!$D$8)-IF(AND(C119&gt;0,Debts!$E$8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D120" s="22" t="n">
        <f aca="false">IF(D119&lt;=0,0,MAX(0,D119*(1+Debts!$C$9/12)-MIN(D119*(1+Debts!$C$9/12),Debts!$D$9)-IF(AND(D119&gt;0,Debts!$E$9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E120" s="22" t="n">
        <f aca="false">IF(E119&lt;=0,0,MAX(0,E119*(1+Debts!$C$10/12)-MIN(E119*(1+Debts!$C$10/12),Debts!$D$10)-IF(AND(E119&gt;0,Debts!$E$10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F120" s="22" t="n">
        <f aca="false">IF(F119&lt;=0,0,MAX(0,F119*(1+Debts!$C$11/12)-MIN(F119*(1+Debts!$C$11/12),Debts!$D$11)-IF(AND(F119&gt;0,Debts!$E$11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G120" s="22" t="n">
        <f aca="false">IF(G119&lt;=0,0,MAX(0,G119*(1+Debts!$C$12/12)-MIN(G119*(1+Debts!$C$12/12),Debts!$D$12)-IF(AND(G119&gt;0,Debts!$E$12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H120" s="22" t="n">
        <f aca="false">IF(H119&lt;=0,0,MAX(0,H119*(1+Debts!$C$13/12)-MIN(H119*(1+Debts!$C$13/12),Debts!$D$13)-IF(AND(H119&gt;0,Debts!$E$13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I120" s="22" t="n">
        <f aca="false">IF(I119&lt;=0,0,MAX(0,I119*(1+Debts!$C$14/12)-MIN(I119*(1+Debts!$C$14/12),Debts!$D$14)-IF(AND(I119&gt;0,Debts!$E$14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J120" s="22" t="n">
        <f aca="false">IF(J119&lt;=0,0,MAX(0,J119*(1+Debts!$C$15/12)-MIN(J119*(1+Debts!$C$15/12),Debts!$D$15)-IF(AND(J119&gt;0,Debts!$E$15=MIN(IF(C119&gt;0,Debts!$E$8,999),IF(D119&gt;0,Debts!$E$9,999),IF(E119&gt;0,Debts!$E$10,999),IF(F119&gt;0,Debts!$E$11,999),IF(G119&gt;0,Debts!$E$12,999),IF(H119&gt;0,Debts!$E$13,999),IF(I119&gt;0,Debts!$E$14,999),IF(J119&gt;0,Debts!$E$15,999))),MAX(0,(B120-(MIN(C119+0,C119*(1+Debts!$C$8/12))*0+MIN(C119*(1+Debts!$C$8/12),Debts!$D$8)+MIN(C119+0,D119*(1+Debts!$C$9/12))*0+MIN(D119*(1+Debts!$C$9/12),Debts!$D$9)+MIN(C119+0,E119*(1+Debts!$C$10/12))*0+MIN(E119*(1+Debts!$C$10/12),Debts!$D$10)+MIN(C119+0,F119*(1+Debts!$C$11/12))*0+MIN(F119*(1+Debts!$C$11/12),Debts!$D$11)+MIN(C119+0,G119*(1+Debts!$C$12/12))*0+MIN(G119*(1+Debts!$C$12/12),Debts!$D$12)+MIN(C119+0,H119*(1+Debts!$C$13/12))*0+MIN(H119*(1+Debts!$C$13/12),Debts!$D$13)+MIN(C119+0,I119*(1+Debts!$C$14/12))*0+MIN(I119*(1+Debts!$C$14/12),Debts!$D$14)+MIN(C119+0,J119*(1+Debts!$C$15/12))*0+MIN(J119*(1+Debts!$C$15/12),Debts!$D$15)))),0)))</f>
        <v>0</v>
      </c>
      <c r="K120" s="22" t="n">
        <f aca="false">IF(C119&gt;0,C119*Debts!$C$8/12,0)+IF(D119&gt;0,D119*Debts!$C$9/12,0)+IF(E119&gt;0,E119*Debts!$C$10/12,0)+IF(F119&gt;0,F119*Debts!$C$11/12,0)+IF(G119&gt;0,G119*Debts!$C$12/12,0)+IF(H119&gt;0,H119*Debts!$C$13/12,0)+IF(I119&gt;0,I119*Debts!$C$14/12,0)+IF(J119&gt;0,J119*Debts!$C$15/12,0)</f>
        <v>0</v>
      </c>
      <c r="L120" s="22" t="n">
        <f aca="false">SUM(C120:J120)</f>
        <v>0</v>
      </c>
    </row>
    <row r="121" customFormat="false" ht="15" hidden="false" customHeight="false" outlineLevel="0" collapsed="false">
      <c r="A121" s="19" t="n">
        <f aca="false">114</f>
        <v>114</v>
      </c>
      <c r="B121" s="27" t="n">
        <f aca="false">IF(L120&lt;=0,0,Debts!$D$16+Debts!$B$4)</f>
        <v>0</v>
      </c>
      <c r="C121" s="22" t="n">
        <f aca="false">IF(C120&lt;=0,0,MAX(0,C120*(1+Debts!$C$8/12)-MIN(C120*(1+Debts!$C$8/12),Debts!$D$8)-IF(AND(C120&gt;0,Debts!$E$8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D121" s="22" t="n">
        <f aca="false">IF(D120&lt;=0,0,MAX(0,D120*(1+Debts!$C$9/12)-MIN(D120*(1+Debts!$C$9/12),Debts!$D$9)-IF(AND(D120&gt;0,Debts!$E$9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E121" s="22" t="n">
        <f aca="false">IF(E120&lt;=0,0,MAX(0,E120*(1+Debts!$C$10/12)-MIN(E120*(1+Debts!$C$10/12),Debts!$D$10)-IF(AND(E120&gt;0,Debts!$E$10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F121" s="22" t="n">
        <f aca="false">IF(F120&lt;=0,0,MAX(0,F120*(1+Debts!$C$11/12)-MIN(F120*(1+Debts!$C$11/12),Debts!$D$11)-IF(AND(F120&gt;0,Debts!$E$11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G121" s="22" t="n">
        <f aca="false">IF(G120&lt;=0,0,MAX(0,G120*(1+Debts!$C$12/12)-MIN(G120*(1+Debts!$C$12/12),Debts!$D$12)-IF(AND(G120&gt;0,Debts!$E$12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H121" s="22" t="n">
        <f aca="false">IF(H120&lt;=0,0,MAX(0,H120*(1+Debts!$C$13/12)-MIN(H120*(1+Debts!$C$13/12),Debts!$D$13)-IF(AND(H120&gt;0,Debts!$E$13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I121" s="22" t="n">
        <f aca="false">IF(I120&lt;=0,0,MAX(0,I120*(1+Debts!$C$14/12)-MIN(I120*(1+Debts!$C$14/12),Debts!$D$14)-IF(AND(I120&gt;0,Debts!$E$14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J121" s="22" t="n">
        <f aca="false">IF(J120&lt;=0,0,MAX(0,J120*(1+Debts!$C$15/12)-MIN(J120*(1+Debts!$C$15/12),Debts!$D$15)-IF(AND(J120&gt;0,Debts!$E$15=MIN(IF(C120&gt;0,Debts!$E$8,999),IF(D120&gt;0,Debts!$E$9,999),IF(E120&gt;0,Debts!$E$10,999),IF(F120&gt;0,Debts!$E$11,999),IF(G120&gt;0,Debts!$E$12,999),IF(H120&gt;0,Debts!$E$13,999),IF(I120&gt;0,Debts!$E$14,999),IF(J120&gt;0,Debts!$E$15,999))),MAX(0,(B121-(MIN(C120+0,C120*(1+Debts!$C$8/12))*0+MIN(C120*(1+Debts!$C$8/12),Debts!$D$8)+MIN(C120+0,D120*(1+Debts!$C$9/12))*0+MIN(D120*(1+Debts!$C$9/12),Debts!$D$9)+MIN(C120+0,E120*(1+Debts!$C$10/12))*0+MIN(E120*(1+Debts!$C$10/12),Debts!$D$10)+MIN(C120+0,F120*(1+Debts!$C$11/12))*0+MIN(F120*(1+Debts!$C$11/12),Debts!$D$11)+MIN(C120+0,G120*(1+Debts!$C$12/12))*0+MIN(G120*(1+Debts!$C$12/12),Debts!$D$12)+MIN(C120+0,H120*(1+Debts!$C$13/12))*0+MIN(H120*(1+Debts!$C$13/12),Debts!$D$13)+MIN(C120+0,I120*(1+Debts!$C$14/12))*0+MIN(I120*(1+Debts!$C$14/12),Debts!$D$14)+MIN(C120+0,J120*(1+Debts!$C$15/12))*0+MIN(J120*(1+Debts!$C$15/12),Debts!$D$15)))),0)))</f>
        <v>0</v>
      </c>
      <c r="K121" s="22" t="n">
        <f aca="false">IF(C120&gt;0,C120*Debts!$C$8/12,0)+IF(D120&gt;0,D120*Debts!$C$9/12,0)+IF(E120&gt;0,E120*Debts!$C$10/12,0)+IF(F120&gt;0,F120*Debts!$C$11/12,0)+IF(G120&gt;0,G120*Debts!$C$12/12,0)+IF(H120&gt;0,H120*Debts!$C$13/12,0)+IF(I120&gt;0,I120*Debts!$C$14/12,0)+IF(J120&gt;0,J120*Debts!$C$15/12,0)</f>
        <v>0</v>
      </c>
      <c r="L121" s="22" t="n">
        <f aca="false">SUM(C121:J121)</f>
        <v>0</v>
      </c>
    </row>
    <row r="122" customFormat="false" ht="15" hidden="false" customHeight="false" outlineLevel="0" collapsed="false">
      <c r="A122" s="19" t="n">
        <f aca="false">115</f>
        <v>115</v>
      </c>
      <c r="B122" s="27" t="n">
        <f aca="false">IF(L121&lt;=0,0,Debts!$D$16+Debts!$B$4)</f>
        <v>0</v>
      </c>
      <c r="C122" s="22" t="n">
        <f aca="false">IF(C121&lt;=0,0,MAX(0,C121*(1+Debts!$C$8/12)-MIN(C121*(1+Debts!$C$8/12),Debts!$D$8)-IF(AND(C121&gt;0,Debts!$E$8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D122" s="22" t="n">
        <f aca="false">IF(D121&lt;=0,0,MAX(0,D121*(1+Debts!$C$9/12)-MIN(D121*(1+Debts!$C$9/12),Debts!$D$9)-IF(AND(D121&gt;0,Debts!$E$9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E122" s="22" t="n">
        <f aca="false">IF(E121&lt;=0,0,MAX(0,E121*(1+Debts!$C$10/12)-MIN(E121*(1+Debts!$C$10/12),Debts!$D$10)-IF(AND(E121&gt;0,Debts!$E$10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F122" s="22" t="n">
        <f aca="false">IF(F121&lt;=0,0,MAX(0,F121*(1+Debts!$C$11/12)-MIN(F121*(1+Debts!$C$11/12),Debts!$D$11)-IF(AND(F121&gt;0,Debts!$E$11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G122" s="22" t="n">
        <f aca="false">IF(G121&lt;=0,0,MAX(0,G121*(1+Debts!$C$12/12)-MIN(G121*(1+Debts!$C$12/12),Debts!$D$12)-IF(AND(G121&gt;0,Debts!$E$12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H122" s="22" t="n">
        <f aca="false">IF(H121&lt;=0,0,MAX(0,H121*(1+Debts!$C$13/12)-MIN(H121*(1+Debts!$C$13/12),Debts!$D$13)-IF(AND(H121&gt;0,Debts!$E$13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I122" s="22" t="n">
        <f aca="false">IF(I121&lt;=0,0,MAX(0,I121*(1+Debts!$C$14/12)-MIN(I121*(1+Debts!$C$14/12),Debts!$D$14)-IF(AND(I121&gt;0,Debts!$E$14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J122" s="22" t="n">
        <f aca="false">IF(J121&lt;=0,0,MAX(0,J121*(1+Debts!$C$15/12)-MIN(J121*(1+Debts!$C$15/12),Debts!$D$15)-IF(AND(J121&gt;0,Debts!$E$15=MIN(IF(C121&gt;0,Debts!$E$8,999),IF(D121&gt;0,Debts!$E$9,999),IF(E121&gt;0,Debts!$E$10,999),IF(F121&gt;0,Debts!$E$11,999),IF(G121&gt;0,Debts!$E$12,999),IF(H121&gt;0,Debts!$E$13,999),IF(I121&gt;0,Debts!$E$14,999),IF(J121&gt;0,Debts!$E$15,999))),MAX(0,(B122-(MIN(C121+0,C121*(1+Debts!$C$8/12))*0+MIN(C121*(1+Debts!$C$8/12),Debts!$D$8)+MIN(C121+0,D121*(1+Debts!$C$9/12))*0+MIN(D121*(1+Debts!$C$9/12),Debts!$D$9)+MIN(C121+0,E121*(1+Debts!$C$10/12))*0+MIN(E121*(1+Debts!$C$10/12),Debts!$D$10)+MIN(C121+0,F121*(1+Debts!$C$11/12))*0+MIN(F121*(1+Debts!$C$11/12),Debts!$D$11)+MIN(C121+0,G121*(1+Debts!$C$12/12))*0+MIN(G121*(1+Debts!$C$12/12),Debts!$D$12)+MIN(C121+0,H121*(1+Debts!$C$13/12))*0+MIN(H121*(1+Debts!$C$13/12),Debts!$D$13)+MIN(C121+0,I121*(1+Debts!$C$14/12))*0+MIN(I121*(1+Debts!$C$14/12),Debts!$D$14)+MIN(C121+0,J121*(1+Debts!$C$15/12))*0+MIN(J121*(1+Debts!$C$15/12),Debts!$D$15)))),0)))</f>
        <v>0</v>
      </c>
      <c r="K122" s="22" t="n">
        <f aca="false">IF(C121&gt;0,C121*Debts!$C$8/12,0)+IF(D121&gt;0,D121*Debts!$C$9/12,0)+IF(E121&gt;0,E121*Debts!$C$10/12,0)+IF(F121&gt;0,F121*Debts!$C$11/12,0)+IF(G121&gt;0,G121*Debts!$C$12/12,0)+IF(H121&gt;0,H121*Debts!$C$13/12,0)+IF(I121&gt;0,I121*Debts!$C$14/12,0)+IF(J121&gt;0,J121*Debts!$C$15/12,0)</f>
        <v>0</v>
      </c>
      <c r="L122" s="22" t="n">
        <f aca="false">SUM(C122:J122)</f>
        <v>0</v>
      </c>
    </row>
    <row r="123" customFormat="false" ht="15" hidden="false" customHeight="false" outlineLevel="0" collapsed="false">
      <c r="A123" s="19" t="n">
        <f aca="false">116</f>
        <v>116</v>
      </c>
      <c r="B123" s="27" t="n">
        <f aca="false">IF(L122&lt;=0,0,Debts!$D$16+Debts!$B$4)</f>
        <v>0</v>
      </c>
      <c r="C123" s="22" t="n">
        <f aca="false">IF(C122&lt;=0,0,MAX(0,C122*(1+Debts!$C$8/12)-MIN(C122*(1+Debts!$C$8/12),Debts!$D$8)-IF(AND(C122&gt;0,Debts!$E$8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D123" s="22" t="n">
        <f aca="false">IF(D122&lt;=0,0,MAX(0,D122*(1+Debts!$C$9/12)-MIN(D122*(1+Debts!$C$9/12),Debts!$D$9)-IF(AND(D122&gt;0,Debts!$E$9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E123" s="22" t="n">
        <f aca="false">IF(E122&lt;=0,0,MAX(0,E122*(1+Debts!$C$10/12)-MIN(E122*(1+Debts!$C$10/12),Debts!$D$10)-IF(AND(E122&gt;0,Debts!$E$10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F123" s="22" t="n">
        <f aca="false">IF(F122&lt;=0,0,MAX(0,F122*(1+Debts!$C$11/12)-MIN(F122*(1+Debts!$C$11/12),Debts!$D$11)-IF(AND(F122&gt;0,Debts!$E$11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G123" s="22" t="n">
        <f aca="false">IF(G122&lt;=0,0,MAX(0,G122*(1+Debts!$C$12/12)-MIN(G122*(1+Debts!$C$12/12),Debts!$D$12)-IF(AND(G122&gt;0,Debts!$E$12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H123" s="22" t="n">
        <f aca="false">IF(H122&lt;=0,0,MAX(0,H122*(1+Debts!$C$13/12)-MIN(H122*(1+Debts!$C$13/12),Debts!$D$13)-IF(AND(H122&gt;0,Debts!$E$13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I123" s="22" t="n">
        <f aca="false">IF(I122&lt;=0,0,MAX(0,I122*(1+Debts!$C$14/12)-MIN(I122*(1+Debts!$C$14/12),Debts!$D$14)-IF(AND(I122&gt;0,Debts!$E$14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J123" s="22" t="n">
        <f aca="false">IF(J122&lt;=0,0,MAX(0,J122*(1+Debts!$C$15/12)-MIN(J122*(1+Debts!$C$15/12),Debts!$D$15)-IF(AND(J122&gt;0,Debts!$E$15=MIN(IF(C122&gt;0,Debts!$E$8,999),IF(D122&gt;0,Debts!$E$9,999),IF(E122&gt;0,Debts!$E$10,999),IF(F122&gt;0,Debts!$E$11,999),IF(G122&gt;0,Debts!$E$12,999),IF(H122&gt;0,Debts!$E$13,999),IF(I122&gt;0,Debts!$E$14,999),IF(J122&gt;0,Debts!$E$15,999))),MAX(0,(B123-(MIN(C122+0,C122*(1+Debts!$C$8/12))*0+MIN(C122*(1+Debts!$C$8/12),Debts!$D$8)+MIN(C122+0,D122*(1+Debts!$C$9/12))*0+MIN(D122*(1+Debts!$C$9/12),Debts!$D$9)+MIN(C122+0,E122*(1+Debts!$C$10/12))*0+MIN(E122*(1+Debts!$C$10/12),Debts!$D$10)+MIN(C122+0,F122*(1+Debts!$C$11/12))*0+MIN(F122*(1+Debts!$C$11/12),Debts!$D$11)+MIN(C122+0,G122*(1+Debts!$C$12/12))*0+MIN(G122*(1+Debts!$C$12/12),Debts!$D$12)+MIN(C122+0,H122*(1+Debts!$C$13/12))*0+MIN(H122*(1+Debts!$C$13/12),Debts!$D$13)+MIN(C122+0,I122*(1+Debts!$C$14/12))*0+MIN(I122*(1+Debts!$C$14/12),Debts!$D$14)+MIN(C122+0,J122*(1+Debts!$C$15/12))*0+MIN(J122*(1+Debts!$C$15/12),Debts!$D$15)))),0)))</f>
        <v>0</v>
      </c>
      <c r="K123" s="22" t="n">
        <f aca="false">IF(C122&gt;0,C122*Debts!$C$8/12,0)+IF(D122&gt;0,D122*Debts!$C$9/12,0)+IF(E122&gt;0,E122*Debts!$C$10/12,0)+IF(F122&gt;0,F122*Debts!$C$11/12,0)+IF(G122&gt;0,G122*Debts!$C$12/12,0)+IF(H122&gt;0,H122*Debts!$C$13/12,0)+IF(I122&gt;0,I122*Debts!$C$14/12,0)+IF(J122&gt;0,J122*Debts!$C$15/12,0)</f>
        <v>0</v>
      </c>
      <c r="L123" s="22" t="n">
        <f aca="false">SUM(C123:J123)</f>
        <v>0</v>
      </c>
    </row>
    <row r="124" customFormat="false" ht="15" hidden="false" customHeight="false" outlineLevel="0" collapsed="false">
      <c r="A124" s="19" t="n">
        <f aca="false">117</f>
        <v>117</v>
      </c>
      <c r="B124" s="27" t="n">
        <f aca="false">IF(L123&lt;=0,0,Debts!$D$16+Debts!$B$4)</f>
        <v>0</v>
      </c>
      <c r="C124" s="22" t="n">
        <f aca="false">IF(C123&lt;=0,0,MAX(0,C123*(1+Debts!$C$8/12)-MIN(C123*(1+Debts!$C$8/12),Debts!$D$8)-IF(AND(C123&gt;0,Debts!$E$8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D124" s="22" t="n">
        <f aca="false">IF(D123&lt;=0,0,MAX(0,D123*(1+Debts!$C$9/12)-MIN(D123*(1+Debts!$C$9/12),Debts!$D$9)-IF(AND(D123&gt;0,Debts!$E$9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E124" s="22" t="n">
        <f aca="false">IF(E123&lt;=0,0,MAX(0,E123*(1+Debts!$C$10/12)-MIN(E123*(1+Debts!$C$10/12),Debts!$D$10)-IF(AND(E123&gt;0,Debts!$E$10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F124" s="22" t="n">
        <f aca="false">IF(F123&lt;=0,0,MAX(0,F123*(1+Debts!$C$11/12)-MIN(F123*(1+Debts!$C$11/12),Debts!$D$11)-IF(AND(F123&gt;0,Debts!$E$11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G124" s="22" t="n">
        <f aca="false">IF(G123&lt;=0,0,MAX(0,G123*(1+Debts!$C$12/12)-MIN(G123*(1+Debts!$C$12/12),Debts!$D$12)-IF(AND(G123&gt;0,Debts!$E$12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H124" s="22" t="n">
        <f aca="false">IF(H123&lt;=0,0,MAX(0,H123*(1+Debts!$C$13/12)-MIN(H123*(1+Debts!$C$13/12),Debts!$D$13)-IF(AND(H123&gt;0,Debts!$E$13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I124" s="22" t="n">
        <f aca="false">IF(I123&lt;=0,0,MAX(0,I123*(1+Debts!$C$14/12)-MIN(I123*(1+Debts!$C$14/12),Debts!$D$14)-IF(AND(I123&gt;0,Debts!$E$14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J124" s="22" t="n">
        <f aca="false">IF(J123&lt;=0,0,MAX(0,J123*(1+Debts!$C$15/12)-MIN(J123*(1+Debts!$C$15/12),Debts!$D$15)-IF(AND(J123&gt;0,Debts!$E$15=MIN(IF(C123&gt;0,Debts!$E$8,999),IF(D123&gt;0,Debts!$E$9,999),IF(E123&gt;0,Debts!$E$10,999),IF(F123&gt;0,Debts!$E$11,999),IF(G123&gt;0,Debts!$E$12,999),IF(H123&gt;0,Debts!$E$13,999),IF(I123&gt;0,Debts!$E$14,999),IF(J123&gt;0,Debts!$E$15,999))),MAX(0,(B124-(MIN(C123+0,C123*(1+Debts!$C$8/12))*0+MIN(C123*(1+Debts!$C$8/12),Debts!$D$8)+MIN(C123+0,D123*(1+Debts!$C$9/12))*0+MIN(D123*(1+Debts!$C$9/12),Debts!$D$9)+MIN(C123+0,E123*(1+Debts!$C$10/12))*0+MIN(E123*(1+Debts!$C$10/12),Debts!$D$10)+MIN(C123+0,F123*(1+Debts!$C$11/12))*0+MIN(F123*(1+Debts!$C$11/12),Debts!$D$11)+MIN(C123+0,G123*(1+Debts!$C$12/12))*0+MIN(G123*(1+Debts!$C$12/12),Debts!$D$12)+MIN(C123+0,H123*(1+Debts!$C$13/12))*0+MIN(H123*(1+Debts!$C$13/12),Debts!$D$13)+MIN(C123+0,I123*(1+Debts!$C$14/12))*0+MIN(I123*(1+Debts!$C$14/12),Debts!$D$14)+MIN(C123+0,J123*(1+Debts!$C$15/12))*0+MIN(J123*(1+Debts!$C$15/12),Debts!$D$15)))),0)))</f>
        <v>0</v>
      </c>
      <c r="K124" s="22" t="n">
        <f aca="false">IF(C123&gt;0,C123*Debts!$C$8/12,0)+IF(D123&gt;0,D123*Debts!$C$9/12,0)+IF(E123&gt;0,E123*Debts!$C$10/12,0)+IF(F123&gt;0,F123*Debts!$C$11/12,0)+IF(G123&gt;0,G123*Debts!$C$12/12,0)+IF(H123&gt;0,H123*Debts!$C$13/12,0)+IF(I123&gt;0,I123*Debts!$C$14/12,0)+IF(J123&gt;0,J123*Debts!$C$15/12,0)</f>
        <v>0</v>
      </c>
      <c r="L124" s="22" t="n">
        <f aca="false">SUM(C124:J124)</f>
        <v>0</v>
      </c>
    </row>
    <row r="125" customFormat="false" ht="15" hidden="false" customHeight="false" outlineLevel="0" collapsed="false">
      <c r="A125" s="19" t="n">
        <f aca="false">118</f>
        <v>118</v>
      </c>
      <c r="B125" s="27" t="n">
        <f aca="false">IF(L124&lt;=0,0,Debts!$D$16+Debts!$B$4)</f>
        <v>0</v>
      </c>
      <c r="C125" s="22" t="n">
        <f aca="false">IF(C124&lt;=0,0,MAX(0,C124*(1+Debts!$C$8/12)-MIN(C124*(1+Debts!$C$8/12),Debts!$D$8)-IF(AND(C124&gt;0,Debts!$E$8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D125" s="22" t="n">
        <f aca="false">IF(D124&lt;=0,0,MAX(0,D124*(1+Debts!$C$9/12)-MIN(D124*(1+Debts!$C$9/12),Debts!$D$9)-IF(AND(D124&gt;0,Debts!$E$9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E125" s="22" t="n">
        <f aca="false">IF(E124&lt;=0,0,MAX(0,E124*(1+Debts!$C$10/12)-MIN(E124*(1+Debts!$C$10/12),Debts!$D$10)-IF(AND(E124&gt;0,Debts!$E$10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F125" s="22" t="n">
        <f aca="false">IF(F124&lt;=0,0,MAX(0,F124*(1+Debts!$C$11/12)-MIN(F124*(1+Debts!$C$11/12),Debts!$D$11)-IF(AND(F124&gt;0,Debts!$E$11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G125" s="22" t="n">
        <f aca="false">IF(G124&lt;=0,0,MAX(0,G124*(1+Debts!$C$12/12)-MIN(G124*(1+Debts!$C$12/12),Debts!$D$12)-IF(AND(G124&gt;0,Debts!$E$12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H125" s="22" t="n">
        <f aca="false">IF(H124&lt;=0,0,MAX(0,H124*(1+Debts!$C$13/12)-MIN(H124*(1+Debts!$C$13/12),Debts!$D$13)-IF(AND(H124&gt;0,Debts!$E$13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I125" s="22" t="n">
        <f aca="false">IF(I124&lt;=0,0,MAX(0,I124*(1+Debts!$C$14/12)-MIN(I124*(1+Debts!$C$14/12),Debts!$D$14)-IF(AND(I124&gt;0,Debts!$E$14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J125" s="22" t="n">
        <f aca="false">IF(J124&lt;=0,0,MAX(0,J124*(1+Debts!$C$15/12)-MIN(J124*(1+Debts!$C$15/12),Debts!$D$15)-IF(AND(J124&gt;0,Debts!$E$15=MIN(IF(C124&gt;0,Debts!$E$8,999),IF(D124&gt;0,Debts!$E$9,999),IF(E124&gt;0,Debts!$E$10,999),IF(F124&gt;0,Debts!$E$11,999),IF(G124&gt;0,Debts!$E$12,999),IF(H124&gt;0,Debts!$E$13,999),IF(I124&gt;0,Debts!$E$14,999),IF(J124&gt;0,Debts!$E$15,999))),MAX(0,(B125-(MIN(C124+0,C124*(1+Debts!$C$8/12))*0+MIN(C124*(1+Debts!$C$8/12),Debts!$D$8)+MIN(C124+0,D124*(1+Debts!$C$9/12))*0+MIN(D124*(1+Debts!$C$9/12),Debts!$D$9)+MIN(C124+0,E124*(1+Debts!$C$10/12))*0+MIN(E124*(1+Debts!$C$10/12),Debts!$D$10)+MIN(C124+0,F124*(1+Debts!$C$11/12))*0+MIN(F124*(1+Debts!$C$11/12),Debts!$D$11)+MIN(C124+0,G124*(1+Debts!$C$12/12))*0+MIN(G124*(1+Debts!$C$12/12),Debts!$D$12)+MIN(C124+0,H124*(1+Debts!$C$13/12))*0+MIN(H124*(1+Debts!$C$13/12),Debts!$D$13)+MIN(C124+0,I124*(1+Debts!$C$14/12))*0+MIN(I124*(1+Debts!$C$14/12),Debts!$D$14)+MIN(C124+0,J124*(1+Debts!$C$15/12))*0+MIN(J124*(1+Debts!$C$15/12),Debts!$D$15)))),0)))</f>
        <v>0</v>
      </c>
      <c r="K125" s="22" t="n">
        <f aca="false">IF(C124&gt;0,C124*Debts!$C$8/12,0)+IF(D124&gt;0,D124*Debts!$C$9/12,0)+IF(E124&gt;0,E124*Debts!$C$10/12,0)+IF(F124&gt;0,F124*Debts!$C$11/12,0)+IF(G124&gt;0,G124*Debts!$C$12/12,0)+IF(H124&gt;0,H124*Debts!$C$13/12,0)+IF(I124&gt;0,I124*Debts!$C$14/12,0)+IF(J124&gt;0,J124*Debts!$C$15/12,0)</f>
        <v>0</v>
      </c>
      <c r="L125" s="22" t="n">
        <f aca="false">SUM(C125:J125)</f>
        <v>0</v>
      </c>
    </row>
    <row r="126" customFormat="false" ht="15" hidden="false" customHeight="false" outlineLevel="0" collapsed="false">
      <c r="A126" s="19" t="n">
        <f aca="false">119</f>
        <v>119</v>
      </c>
      <c r="B126" s="27" t="n">
        <f aca="false">IF(L125&lt;=0,0,Debts!$D$16+Debts!$B$4)</f>
        <v>0</v>
      </c>
      <c r="C126" s="22" t="n">
        <f aca="false">IF(C125&lt;=0,0,MAX(0,C125*(1+Debts!$C$8/12)-MIN(C125*(1+Debts!$C$8/12),Debts!$D$8)-IF(AND(C125&gt;0,Debts!$E$8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D126" s="22" t="n">
        <f aca="false">IF(D125&lt;=0,0,MAX(0,D125*(1+Debts!$C$9/12)-MIN(D125*(1+Debts!$C$9/12),Debts!$D$9)-IF(AND(D125&gt;0,Debts!$E$9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E126" s="22" t="n">
        <f aca="false">IF(E125&lt;=0,0,MAX(0,E125*(1+Debts!$C$10/12)-MIN(E125*(1+Debts!$C$10/12),Debts!$D$10)-IF(AND(E125&gt;0,Debts!$E$10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F126" s="22" t="n">
        <f aca="false">IF(F125&lt;=0,0,MAX(0,F125*(1+Debts!$C$11/12)-MIN(F125*(1+Debts!$C$11/12),Debts!$D$11)-IF(AND(F125&gt;0,Debts!$E$11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G126" s="22" t="n">
        <f aca="false">IF(G125&lt;=0,0,MAX(0,G125*(1+Debts!$C$12/12)-MIN(G125*(1+Debts!$C$12/12),Debts!$D$12)-IF(AND(G125&gt;0,Debts!$E$12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H126" s="22" t="n">
        <f aca="false">IF(H125&lt;=0,0,MAX(0,H125*(1+Debts!$C$13/12)-MIN(H125*(1+Debts!$C$13/12),Debts!$D$13)-IF(AND(H125&gt;0,Debts!$E$13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I126" s="22" t="n">
        <f aca="false">IF(I125&lt;=0,0,MAX(0,I125*(1+Debts!$C$14/12)-MIN(I125*(1+Debts!$C$14/12),Debts!$D$14)-IF(AND(I125&gt;0,Debts!$E$14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J126" s="22" t="n">
        <f aca="false">IF(J125&lt;=0,0,MAX(0,J125*(1+Debts!$C$15/12)-MIN(J125*(1+Debts!$C$15/12),Debts!$D$15)-IF(AND(J125&gt;0,Debts!$E$15=MIN(IF(C125&gt;0,Debts!$E$8,999),IF(D125&gt;0,Debts!$E$9,999),IF(E125&gt;0,Debts!$E$10,999),IF(F125&gt;0,Debts!$E$11,999),IF(G125&gt;0,Debts!$E$12,999),IF(H125&gt;0,Debts!$E$13,999),IF(I125&gt;0,Debts!$E$14,999),IF(J125&gt;0,Debts!$E$15,999))),MAX(0,(B126-(MIN(C125+0,C125*(1+Debts!$C$8/12))*0+MIN(C125*(1+Debts!$C$8/12),Debts!$D$8)+MIN(C125+0,D125*(1+Debts!$C$9/12))*0+MIN(D125*(1+Debts!$C$9/12),Debts!$D$9)+MIN(C125+0,E125*(1+Debts!$C$10/12))*0+MIN(E125*(1+Debts!$C$10/12),Debts!$D$10)+MIN(C125+0,F125*(1+Debts!$C$11/12))*0+MIN(F125*(1+Debts!$C$11/12),Debts!$D$11)+MIN(C125+0,G125*(1+Debts!$C$12/12))*0+MIN(G125*(1+Debts!$C$12/12),Debts!$D$12)+MIN(C125+0,H125*(1+Debts!$C$13/12))*0+MIN(H125*(1+Debts!$C$13/12),Debts!$D$13)+MIN(C125+0,I125*(1+Debts!$C$14/12))*0+MIN(I125*(1+Debts!$C$14/12),Debts!$D$14)+MIN(C125+0,J125*(1+Debts!$C$15/12))*0+MIN(J125*(1+Debts!$C$15/12),Debts!$D$15)))),0)))</f>
        <v>0</v>
      </c>
      <c r="K126" s="22" t="n">
        <f aca="false">IF(C125&gt;0,C125*Debts!$C$8/12,0)+IF(D125&gt;0,D125*Debts!$C$9/12,0)+IF(E125&gt;0,E125*Debts!$C$10/12,0)+IF(F125&gt;0,F125*Debts!$C$11/12,0)+IF(G125&gt;0,G125*Debts!$C$12/12,0)+IF(H125&gt;0,H125*Debts!$C$13/12,0)+IF(I125&gt;0,I125*Debts!$C$14/12,0)+IF(J125&gt;0,J125*Debts!$C$15/12,0)</f>
        <v>0</v>
      </c>
      <c r="L126" s="22" t="n">
        <f aca="false">SUM(C126:J126)</f>
        <v>0</v>
      </c>
    </row>
    <row r="127" customFormat="false" ht="15" hidden="false" customHeight="false" outlineLevel="0" collapsed="false">
      <c r="A127" s="19" t="n">
        <f aca="false">120</f>
        <v>120</v>
      </c>
      <c r="B127" s="27" t="n">
        <f aca="false">IF(L126&lt;=0,0,Debts!$D$16+Debts!$B$4)</f>
        <v>0</v>
      </c>
      <c r="C127" s="22" t="n">
        <f aca="false">IF(C126&lt;=0,0,MAX(0,C126*(1+Debts!$C$8/12)-MIN(C126*(1+Debts!$C$8/12),Debts!$D$8)-IF(AND(C126&gt;0,Debts!$E$8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D127" s="22" t="n">
        <f aca="false">IF(D126&lt;=0,0,MAX(0,D126*(1+Debts!$C$9/12)-MIN(D126*(1+Debts!$C$9/12),Debts!$D$9)-IF(AND(D126&gt;0,Debts!$E$9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E127" s="22" t="n">
        <f aca="false">IF(E126&lt;=0,0,MAX(0,E126*(1+Debts!$C$10/12)-MIN(E126*(1+Debts!$C$10/12),Debts!$D$10)-IF(AND(E126&gt;0,Debts!$E$10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F127" s="22" t="n">
        <f aca="false">IF(F126&lt;=0,0,MAX(0,F126*(1+Debts!$C$11/12)-MIN(F126*(1+Debts!$C$11/12),Debts!$D$11)-IF(AND(F126&gt;0,Debts!$E$11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G127" s="22" t="n">
        <f aca="false">IF(G126&lt;=0,0,MAX(0,G126*(1+Debts!$C$12/12)-MIN(G126*(1+Debts!$C$12/12),Debts!$D$12)-IF(AND(G126&gt;0,Debts!$E$12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H127" s="22" t="n">
        <f aca="false">IF(H126&lt;=0,0,MAX(0,H126*(1+Debts!$C$13/12)-MIN(H126*(1+Debts!$C$13/12),Debts!$D$13)-IF(AND(H126&gt;0,Debts!$E$13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I127" s="22" t="n">
        <f aca="false">IF(I126&lt;=0,0,MAX(0,I126*(1+Debts!$C$14/12)-MIN(I126*(1+Debts!$C$14/12),Debts!$D$14)-IF(AND(I126&gt;0,Debts!$E$14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J127" s="22" t="n">
        <f aca="false">IF(J126&lt;=0,0,MAX(0,J126*(1+Debts!$C$15/12)-MIN(J126*(1+Debts!$C$15/12),Debts!$D$15)-IF(AND(J126&gt;0,Debts!$E$15=MIN(IF(C126&gt;0,Debts!$E$8,999),IF(D126&gt;0,Debts!$E$9,999),IF(E126&gt;0,Debts!$E$10,999),IF(F126&gt;0,Debts!$E$11,999),IF(G126&gt;0,Debts!$E$12,999),IF(H126&gt;0,Debts!$E$13,999),IF(I126&gt;0,Debts!$E$14,999),IF(J126&gt;0,Debts!$E$15,999))),MAX(0,(B127-(MIN(C126+0,C126*(1+Debts!$C$8/12))*0+MIN(C126*(1+Debts!$C$8/12),Debts!$D$8)+MIN(C126+0,D126*(1+Debts!$C$9/12))*0+MIN(D126*(1+Debts!$C$9/12),Debts!$D$9)+MIN(C126+0,E126*(1+Debts!$C$10/12))*0+MIN(E126*(1+Debts!$C$10/12),Debts!$D$10)+MIN(C126+0,F126*(1+Debts!$C$11/12))*0+MIN(F126*(1+Debts!$C$11/12),Debts!$D$11)+MIN(C126+0,G126*(1+Debts!$C$12/12))*0+MIN(G126*(1+Debts!$C$12/12),Debts!$D$12)+MIN(C126+0,H126*(1+Debts!$C$13/12))*0+MIN(H126*(1+Debts!$C$13/12),Debts!$D$13)+MIN(C126+0,I126*(1+Debts!$C$14/12))*0+MIN(I126*(1+Debts!$C$14/12),Debts!$D$14)+MIN(C126+0,J126*(1+Debts!$C$15/12))*0+MIN(J126*(1+Debts!$C$15/12),Debts!$D$15)))),0)))</f>
        <v>0</v>
      </c>
      <c r="K127" s="22" t="n">
        <f aca="false">IF(C126&gt;0,C126*Debts!$C$8/12,0)+IF(D126&gt;0,D126*Debts!$C$9/12,0)+IF(E126&gt;0,E126*Debts!$C$10/12,0)+IF(F126&gt;0,F126*Debts!$C$11/12,0)+IF(G126&gt;0,G126*Debts!$C$12/12,0)+IF(H126&gt;0,H126*Debts!$C$13/12,0)+IF(I126&gt;0,I126*Debts!$C$14/12,0)+IF(J126&gt;0,J126*Debts!$C$15/12,0)</f>
        <v>0</v>
      </c>
      <c r="L127" s="22" t="n">
        <f aca="false">SUM(C127:J127)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