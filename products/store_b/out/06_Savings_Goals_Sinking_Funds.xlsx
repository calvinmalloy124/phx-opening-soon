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Start Here" sheetId="1" state="visible" r:id="rId3"/>
    <sheet name="Dashboard" sheetId="2" state="visible" r:id="rId4"/>
    <sheet name="Goals" sheetId="3" state="visible" r:id="rId5"/>
    <sheet name="Deposi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<sst xmlns="http://schemas.openxmlformats.org/spreadsheetml/2006/main" count="62" uniqueCount="54">
  <si>
    <t xml:space="preserve">Savings Goals &amp; Sinking Funds Tracker</t>
  </si>
  <si>
    <t xml:space="preserve">Simple Sheets Co. — Excel + Google Sheets</t>
  </si>
  <si>
    <t xml:space="preserve">Setup</t>
  </si>
  <si>
    <t xml:space="preserve">1. One row per goal: target amount, target date, and what you've saved so far.</t>
  </si>
  <si>
    <t xml:space="preserve">2. Monthly amount needed to hit each date calculates, plus a progress bar and on-track status.</t>
  </si>
  <si>
    <t xml:space="preserve">3. Log deposits on the Deposits tab; balances update automatically.</t>
  </si>
  <si>
    <t xml:space="preserve">Conventions</t>
  </si>
  <si>
    <t xml:space="preserve">• Yellow cells with blue text are inputs. Type over the sample numbers.</t>
  </si>
  <si>
    <t xml:space="preserve">• Black text is a formula. Leave it alone unless you know what you're changing.</t>
  </si>
  <si>
    <t xml:space="preserve">• Green text pulls from another tab.</t>
  </si>
  <si>
    <t xml:space="preserve">• Works in Excel 2016+ and Google Sheets (File &gt; Import &gt; Upload &gt; Replace). No macros.</t>
  </si>
  <si>
    <t xml:space="preserve">For planning and educational use only. Not financial, legal, or tax advice. Every number is an estimate you should verify for your own business.</t>
  </si>
  <si>
    <t xml:space="preserve">Savings Dashboard</t>
  </si>
  <si>
    <t xml:space="preserve">Every goal, how far along, and what it takes each month.</t>
  </si>
  <si>
    <t xml:space="preserve">TOTAL SAVED</t>
  </si>
  <si>
    <t xml:space="preserve">TOTAL TARGET</t>
  </si>
  <si>
    <t xml:space="preserve">STILL TO SAVE</t>
  </si>
  <si>
    <t xml:space="preserve">NEEDED PER MONTH (ALL GOALS)</t>
  </si>
  <si>
    <t xml:space="preserve">OVERALL PROGRESS</t>
  </si>
  <si>
    <t xml:space="preserve">GOALS COMPLETE</t>
  </si>
  <si>
    <t xml:space="preserve">Overall progress</t>
  </si>
  <si>
    <t xml:space="preserve">Savings Goals</t>
  </si>
  <si>
    <t xml:space="preserve">How to use: type your numbers in the yellow cells (blue text). Everything else calculates.</t>
  </si>
  <si>
    <t xml:space="preserve">Goal</t>
  </si>
  <si>
    <t xml:space="preserve">Target amount</t>
  </si>
  <si>
    <t xml:space="preserve">Target date</t>
  </si>
  <si>
    <t xml:space="preserve">Starting balance</t>
  </si>
  <si>
    <t xml:space="preserve">Deposits logged</t>
  </si>
  <si>
    <t xml:space="preserve">Current balance</t>
  </si>
  <si>
    <t xml:space="preserve">Remaining</t>
  </si>
  <si>
    <t xml:space="preserve">Months left</t>
  </si>
  <si>
    <t xml:space="preserve">Needed per month</t>
  </si>
  <si>
    <t xml:space="preserve">Progress</t>
  </si>
  <si>
    <t xml:space="preserve">Status</t>
  </si>
  <si>
    <t xml:space="preserve">Emergency fund</t>
  </si>
  <si>
    <t xml:space="preserve">2027-06-30</t>
  </si>
  <si>
    <t xml:space="preserve">Vacation — Japan</t>
  </si>
  <si>
    <t xml:space="preserve">2027-03-01</t>
  </si>
  <si>
    <t xml:space="preserve">New laptop</t>
  </si>
  <si>
    <t xml:space="preserve">2026-12-15</t>
  </si>
  <si>
    <t xml:space="preserve">Car down payment</t>
  </si>
  <si>
    <t xml:space="preserve">2027-09-01</t>
  </si>
  <si>
    <t xml:space="preserve">Holiday gifts</t>
  </si>
  <si>
    <t xml:space="preserve">2026-12-01</t>
  </si>
  <si>
    <t xml:space="preserve">TOTAL</t>
  </si>
  <si>
    <t xml:space="preserve">Deposit Log</t>
  </si>
  <si>
    <t xml:space="preserve">Goal name must match the Goals tab exactly.</t>
  </si>
  <si>
    <t xml:space="preserve">Date</t>
  </si>
  <si>
    <t xml:space="preserve">Amount</t>
  </si>
  <si>
    <t xml:space="preserve">Note</t>
  </si>
  <si>
    <t xml:space="preserve">2026-08-01</t>
  </si>
  <si>
    <t xml:space="preserve">2026-08-15</t>
  </si>
  <si>
    <t xml:space="preserve">2026-09-01</t>
  </si>
  <si>
    <t xml:space="preserve">2026-09-15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</si>
</sst>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0.0%;\(0.0%\);\-"/>
    <numFmt numFmtId="167" formatCode="@"/>
    <numFmt numFmtId="168" formatCode="#,##0.00;\(#,##0.00\)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A2C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20"/>
      <color rgb="FF1F2A2C"/>
      <name val="Arial"/>
      <family val="0"/>
      <charset val="1"/>
    </font>
    <font>
      <i val="true"/>
      <sz val="10"/>
      <color rgb="FF6B7A7C"/>
      <name val="Arial"/>
      <family val="0"/>
      <charset val="1"/>
    </font>
    <font>
      <b val="true"/>
      <sz val="9"/>
      <color rgb="FF6B7A7C"/>
      <name val="Arial"/>
      <family val="0"/>
      <charset val="1"/>
    </font>
    <font>
      <b val="true"/>
      <sz val="20"/>
      <color rgb="FFC7813F"/>
      <name val="Arial"/>
      <family val="0"/>
      <charset val="1"/>
    </font>
    <font>
      <b val="true"/>
      <sz val="20"/>
      <color rgb="FF2E6F73"/>
      <name val="Arial"/>
      <family val="0"/>
      <charset val="1"/>
    </font>
    <font>
      <sz val="12"/>
      <color rgb="FF2E6F73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4F1EC"/>
        <bgColor rgb="FFFBF6E9"/>
      </patternFill>
    </fill>
    <fill>
      <patternFill patternType="solid">
        <fgColor rgb="FF2E6F73"/>
        <bgColor rgb="FF008080"/>
      </patternFill>
    </fill>
    <fill>
      <patternFill patternType="solid">
        <fgColor rgb="FFFBF6E9"/>
        <bgColor rgb="FFF4F1EC"/>
      </patternFill>
    </fill>
    <fill>
      <patternFill patternType="solid">
        <fgColor rgb="FFE7E6E6"/>
        <bgColor rgb="FFF4F1E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9D4CC"/>
      </left>
      <right style="thin">
        <color rgb="FFD9D4CC"/>
      </right>
      <top style="thin">
        <color rgb="FFD9D4CC"/>
      </top>
      <bottom/>
      <diagonal/>
    </border>
    <border diagonalUp="false" diagonalDown="false">
      <left style="thin">
        <color rgb="FFD9D4CC"/>
      </left>
      <right style="thin">
        <color rgb="FFD9D4CC"/>
      </right>
      <top/>
      <bottom style="thin">
        <color rgb="FFD9D4CC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1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1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1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6F73"/>
      <rgbColor rgb="FFBFBFBF"/>
      <rgbColor rgb="FF878787"/>
      <rgbColor rgb="FF9999FF"/>
      <rgbColor rgb="FF993366"/>
      <rgbColor rgb="FFFBF6E9"/>
      <rgbColor rgb="FFF4F1EC"/>
      <rgbColor rgb="FF660066"/>
      <rgbColor rgb="FFC7813F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D9D4CC"/>
      <rgbColor rgb="FF3366FF"/>
      <rgbColor rgb="FF33CCCC"/>
      <rgbColor rgb="FF99CC00"/>
      <rgbColor rgb="FFFFCC00"/>
      <rgbColor rgb="FFFF9900"/>
      <rgbColor rgb="FFFF6600"/>
      <rgbColor rgb="FF666666"/>
      <rgbColor rgb="FF6B7A7C"/>
      <rgbColor rgb="FF003366"/>
      <rgbColor rgb="FF339966"/>
      <rgbColor rgb="FF003300"/>
      <rgbColor rgb="FF333300"/>
      <rgbColor rgb="FF993300"/>
      <rgbColor rgb="FF993366"/>
      <rgbColor rgb="FF333399"/>
      <rgbColor rgb="FF1F2A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Saved vs. target by goal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Goals!F4</c:f>
              <c:strCache>
                <c:ptCount val="1"/>
                <c:pt idx="0">
                  <c:v>Current balance</c:v>
                </c:pt>
              </c:strCache>
            </c:strRef>
          </c:tx>
          <c:spPr>
            <a:solidFill>
              <a:srgbClr val="2e6f73"/>
            </a:solidFill>
            <a:ln w="9360">
              <a:solidFill>
                <a:srgbClr val="2e6f73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Goals!$A$5:$A$9</c:f>
              <c:strCache>
                <c:ptCount val="5"/>
                <c:pt idx="0">
                  <c:v>Emergency fund</c:v>
                </c:pt>
                <c:pt idx="1">
                  <c:v>Vacation — Japan</c:v>
                </c:pt>
                <c:pt idx="2">
                  <c:v>New laptop</c:v>
                </c:pt>
                <c:pt idx="3">
                  <c:v>Car down payment</c:v>
                </c:pt>
                <c:pt idx="4">
                  <c:v>Holiday gifts</c:v>
                </c:pt>
              </c:strCache>
            </c:strRef>
          </c:cat>
          <c:val>
            <c:numRef>
              <c:f>Goals!$F$5:$F$9</c:f>
              <c:numCache>
                <c:formatCode>\$#,##0;"($"#,##0\);\-</c:formatCode>
                <c:ptCount val="5"/>
                <c:pt idx="0">
                  <c:v>4000</c:v>
                </c:pt>
                <c:pt idx="1">
                  <c:v>1100</c:v>
                </c:pt>
                <c:pt idx="2">
                  <c:v>1250</c:v>
                </c:pt>
                <c:pt idx="3">
                  <c:v>500</c:v>
                </c:pt>
                <c:pt idx="4">
                  <c:v>500</c:v>
                </c:pt>
              </c:numCache>
            </c:numRef>
          </c:val>
        </c:ser>
        <c:ser>
          <c:idx val="1"/>
          <c:order val="1"/>
          <c:tx>
            <c:strRef>
              <c:f>Goals!B4</c:f>
              <c:strCache>
                <c:ptCount val="1"/>
                <c:pt idx="0">
                  <c:v>Target amount</c:v>
                </c:pt>
              </c:strCache>
            </c:strRef>
          </c:tx>
          <c:spPr>
            <a:solidFill>
              <a:srgbClr val="c7813f"/>
            </a:solidFill>
            <a:ln w="9360">
              <a:solidFill>
                <a:srgbClr val="c7813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Goals!$A$5:$A$9</c:f>
              <c:strCache>
                <c:ptCount val="5"/>
                <c:pt idx="0">
                  <c:v>Emergency fund</c:v>
                </c:pt>
                <c:pt idx="1">
                  <c:v>Vacation — Japan</c:v>
                </c:pt>
                <c:pt idx="2">
                  <c:v>New laptop</c:v>
                </c:pt>
                <c:pt idx="3">
                  <c:v>Car down payment</c:v>
                </c:pt>
                <c:pt idx="4">
                  <c:v>Holiday gifts</c:v>
                </c:pt>
              </c:strCache>
            </c:strRef>
          </c:cat>
          <c:val>
            <c:numRef>
              <c:f>Goals!$B$5:$B$9</c:f>
              <c:numCache>
                <c:formatCode>\$#,##0;"($"#,##0\);\-</c:formatCode>
                <c:ptCount val="5"/>
                <c:pt idx="0">
                  <c:v>10000</c:v>
                </c:pt>
                <c:pt idx="1">
                  <c:v>4500</c:v>
                </c:pt>
                <c:pt idx="2">
                  <c:v>1800</c:v>
                </c:pt>
                <c:pt idx="3">
                  <c:v>6000</c:v>
                </c:pt>
                <c:pt idx="4">
                  <c:v>1200</c:v>
                </c:pt>
              </c:numCache>
            </c:numRef>
          </c:val>
        </c:ser>
        <c:gapWidth val="150"/>
        <c:overlap val="0"/>
        <c:axId val="69718650"/>
        <c:axId val="35062195"/>
      </c:barChart>
      <c:catAx>
        <c:axId val="697186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062195"/>
        <c:crosses val="autoZero"/>
        <c:auto val="1"/>
        <c:lblAlgn val="ctr"/>
        <c:lblOffset val="100"/>
        <c:noMultiLvlLbl val="0"/>
      </c:catAx>
      <c:valAx>
        <c:axId val="350621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71865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15</xdr:row>
      <xdr:rowOff>70560</xdr:rowOff>
    </xdr:from>
    <xdr:to>
      <xdr:col>6</xdr:col>
      <xdr:colOff>701280</xdr:colOff>
      <xdr:row>32</xdr:row>
      <xdr:rowOff>71640</xdr:rowOff>
    </xdr:to>
    <xdr:graphicFrame>
      <xdr:nvGraphicFramePr>
        <xdr:cNvPr id="0" name="Chart 1"/>
        <xdr:cNvGraphicFramePr/>
      </xdr:nvGraphicFramePr>
      <xdr:xfrm>
        <a:off x="266760" y="31622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4" t="s">
        <v>10</v>
      </c>
    </row>
    <row r="15" customFormat="false" ht="15" hidden="false" customHeight="false" outlineLevel="0" collapsed="false">
      <c r="A15" s="4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M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9" min="2" style="0" width="13"/>
  </cols>
  <sheetData>
    <row r="2" customFormat="false" ht="24.45" hidden="false" customHeight="false" outlineLevel="0" collapsed="false">
      <c r="B2" s="5" t="s">
        <v>12</v>
      </c>
    </row>
    <row r="3" customFormat="false" ht="15" hidden="false" customHeight="false" outlineLevel="0" collapsed="false">
      <c r="B3" s="6" t="s">
        <v>13</v>
      </c>
    </row>
    <row r="5" customFormat="false" ht="15.75" hidden="false" customHeight="true" outlineLevel="0" collapsed="false">
      <c r="B5" s="7" t="s">
        <v>14</v>
      </c>
      <c r="C5" s="7"/>
      <c r="D5" s="7"/>
      <c r="E5" s="7" t="s">
        <v>15</v>
      </c>
      <c r="F5" s="7"/>
      <c r="G5" s="7"/>
      <c r="H5" s="7" t="s">
        <v>16</v>
      </c>
      <c r="I5" s="7"/>
      <c r="J5" s="7"/>
      <c r="K5" s="7" t="s">
        <v>17</v>
      </c>
      <c r="L5" s="7"/>
      <c r="M5" s="7"/>
    </row>
    <row r="6" customFormat="false" ht="21.75" hidden="false" customHeight="true" outlineLevel="0" collapsed="false">
      <c r="B6" s="8" t="n">
        <f aca="false">Goals!F20</f>
        <v>7350</v>
      </c>
      <c r="C6" s="8"/>
      <c r="D6" s="8"/>
      <c r="E6" s="9" t="n">
        <f aca="false">Goals!B20</f>
        <v>23500</v>
      </c>
      <c r="F6" s="9"/>
      <c r="G6" s="9"/>
      <c r="H6" s="9" t="n">
        <f aca="false">Goals!G20</f>
        <v>16150</v>
      </c>
      <c r="I6" s="9"/>
      <c r="J6" s="9"/>
      <c r="K6" s="9" t="n">
        <f aca="false">Goals!I20</f>
        <v>2231.70548140139</v>
      </c>
      <c r="L6" s="9"/>
      <c r="M6" s="9"/>
    </row>
    <row r="7" customFormat="false" ht="12" hidden="false" customHeight="true" outlineLevel="0" collapsed="false">
      <c r="B7" s="8"/>
      <c r="C7" s="8"/>
      <c r="D7" s="8"/>
      <c r="E7" s="9"/>
      <c r="F7" s="9"/>
      <c r="G7" s="9"/>
      <c r="H7" s="9"/>
      <c r="I7" s="9"/>
      <c r="J7" s="9"/>
      <c r="K7" s="9"/>
      <c r="L7" s="9"/>
      <c r="M7" s="9"/>
    </row>
    <row r="9" customFormat="false" ht="15.75" hidden="false" customHeight="true" outlineLevel="0" collapsed="false">
      <c r="B9" s="7" t="s">
        <v>18</v>
      </c>
      <c r="C9" s="7"/>
      <c r="D9" s="7"/>
      <c r="E9" s="7" t="s">
        <v>19</v>
      </c>
      <c r="F9" s="7"/>
      <c r="G9" s="7"/>
    </row>
    <row r="10" customFormat="false" ht="21.75" hidden="false" customHeight="true" outlineLevel="0" collapsed="false">
      <c r="B10" s="10" t="n">
        <f aca="false">IF(Goals!B20=0,0,Goals!F20/Goals!B20)</f>
        <v>0.312765957446809</v>
      </c>
      <c r="C10" s="10"/>
      <c r="D10" s="10"/>
      <c r="E10" s="11" t="str">
        <f aca="false">COUNTIF(Goals!K5:K19,"DONE")&amp;" of "&amp;COUNTA(Goals!A5:A19)</f>
        <v>0 of 5</v>
      </c>
      <c r="F10" s="11"/>
      <c r="G10" s="11"/>
    </row>
    <row r="11" customFormat="false" ht="12" hidden="false" customHeight="true" outlineLevel="0" collapsed="false">
      <c r="B11" s="10"/>
      <c r="C11" s="10"/>
      <c r="D11" s="10"/>
      <c r="E11" s="11"/>
      <c r="F11" s="11"/>
      <c r="G11" s="11"/>
    </row>
    <row r="13" customFormat="false" ht="15" hidden="false" customHeight="false" outlineLevel="0" collapsed="false">
      <c r="B13" s="12" t="s">
        <v>20</v>
      </c>
    </row>
    <row r="14" customFormat="false" ht="15" hidden="false" customHeight="false" outlineLevel="0" collapsed="false">
      <c r="B14" s="13" t="str">
        <f aca="false">REPT("█",ROUND(MIN(1,MAX(0,IF(Goals!B20=0,0,Goals!F20/Goals!B20)))*40,0))&amp;REPT("░",40-ROUND(MIN(1,MAX(0,IF(Goals!B20=0,0,Goals!F20/Goals!B20)))*40,0))&amp;"  "&amp;TEXT(IF(Goals!B20=0,0,Goals!F20/Goals!B20),"0%")</f>
        <v>█████████████░░░░░░░░░░░░░░░░░░░░░░░░░░░  31%</v>
      </c>
    </row>
  </sheetData>
  <mergeCells count="12">
    <mergeCell ref="B5:D5"/>
    <mergeCell ref="E5:G5"/>
    <mergeCell ref="H5:J5"/>
    <mergeCell ref="K5:M5"/>
    <mergeCell ref="B6:D7"/>
    <mergeCell ref="E6:G7"/>
    <mergeCell ref="H6:J7"/>
    <mergeCell ref="K6:M7"/>
    <mergeCell ref="B9:D9"/>
    <mergeCell ref="E9:G9"/>
    <mergeCell ref="B10:D11"/>
    <mergeCell ref="E10:G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22"/>
    <col collapsed="false" customWidth="true" hidden="false" outlineLevel="0" max="11" min="11" style="0" width="12"/>
  </cols>
  <sheetData>
    <row r="1" customFormat="false" ht="17.35" hidden="false" customHeight="false" outlineLevel="0" collapsed="false">
      <c r="A1" s="1" t="s">
        <v>21</v>
      </c>
    </row>
    <row r="3" customFormat="false" ht="15" hidden="false" customHeight="false" outlineLevel="0" collapsed="false">
      <c r="A3" s="2" t="s">
        <v>22</v>
      </c>
    </row>
    <row r="4" customFormat="false" ht="30" hidden="false" customHeight="true" outlineLevel="0" collapsed="false">
      <c r="A4" s="14" t="s">
        <v>23</v>
      </c>
      <c r="B4" s="14" t="s">
        <v>24</v>
      </c>
      <c r="C4" s="14" t="s">
        <v>25</v>
      </c>
      <c r="D4" s="14" t="s">
        <v>26</v>
      </c>
      <c r="E4" s="14" t="s">
        <v>27</v>
      </c>
      <c r="F4" s="14" t="s">
        <v>28</v>
      </c>
      <c r="G4" s="14" t="s">
        <v>29</v>
      </c>
      <c r="H4" s="14" t="s">
        <v>30</v>
      </c>
      <c r="I4" s="14" t="s">
        <v>31</v>
      </c>
      <c r="J4" s="14" t="s">
        <v>32</v>
      </c>
      <c r="K4" s="14" t="s">
        <v>33</v>
      </c>
    </row>
    <row r="5" customFormat="false" ht="15" hidden="false" customHeight="false" outlineLevel="0" collapsed="false">
      <c r="A5" s="15" t="s">
        <v>34</v>
      </c>
      <c r="B5" s="16" t="n">
        <v>10000</v>
      </c>
      <c r="C5" s="15" t="s">
        <v>35</v>
      </c>
      <c r="D5" s="16" t="n">
        <v>3200</v>
      </c>
      <c r="E5" s="17" t="n">
        <f aca="false">SUMIF(Deposits!$B$6:$B$500,A5,Deposits!$C$6:$C$500)</f>
        <v>800</v>
      </c>
      <c r="F5" s="18" t="n">
        <f aca="false">D5+E5</f>
        <v>4000</v>
      </c>
      <c r="G5" s="18" t="n">
        <f aca="false">MAX(0,B5-F5)</f>
        <v>6000</v>
      </c>
      <c r="H5" s="19" t="n">
        <f aca="true">MAX(0,ROUND((DATEVALUE(C5)-TODAY())/30.4,1))</f>
        <v>9.4</v>
      </c>
      <c r="I5" s="18" t="n">
        <f aca="false">IF(H5&lt;=0,G5,G5/H5)</f>
        <v>638.297872340426</v>
      </c>
      <c r="J5" s="20" t="str">
        <f aca="false">REPT("█",ROUND(MIN(1,IF(B5=0,0,F5/B5))*20,0))&amp;" "&amp;TEXT(IF(B5=0,0,F5/B5),"0%")</f>
        <v>████████ 40%</v>
      </c>
      <c r="K5" s="20" t="str">
        <f aca="false">IF(G5=0,"DONE",IF(H5=0,"Past due","On track"))</f>
        <v>On track</v>
      </c>
    </row>
    <row r="6" customFormat="false" ht="15" hidden="false" customHeight="false" outlineLevel="0" collapsed="false">
      <c r="A6" s="15" t="s">
        <v>36</v>
      </c>
      <c r="B6" s="16" t="n">
        <v>4500</v>
      </c>
      <c r="C6" s="15" t="s">
        <v>37</v>
      </c>
      <c r="D6" s="16" t="n">
        <v>900</v>
      </c>
      <c r="E6" s="17" t="n">
        <f aca="false">SUMIF(Deposits!$B$6:$B$500,A6,Deposits!$C$6:$C$500)</f>
        <v>200</v>
      </c>
      <c r="F6" s="18" t="n">
        <f aca="false">D6+E6</f>
        <v>1100</v>
      </c>
      <c r="G6" s="18" t="n">
        <f aca="false">MAX(0,B6-F6)</f>
        <v>3400</v>
      </c>
      <c r="H6" s="19" t="n">
        <f aca="true">MAX(0,ROUND((DATEVALUE(C6)-TODAY())/30.4,1))</f>
        <v>5.4</v>
      </c>
      <c r="I6" s="18" t="n">
        <f aca="false">IF(H6&lt;=0,G6,G6/H6)</f>
        <v>629.62962962963</v>
      </c>
      <c r="J6" s="20" t="str">
        <f aca="false">REPT("█",ROUND(MIN(1,IF(B6=0,0,F6/B6))*20,0))&amp;" "&amp;TEXT(IF(B6=0,0,F6/B6),"0%")</f>
        <v>█████ 24%</v>
      </c>
      <c r="K6" s="20" t="str">
        <f aca="false">IF(G6=0,"DONE",IF(H6=0,"Past due","On track"))</f>
        <v>On track</v>
      </c>
    </row>
    <row r="7" customFormat="false" ht="15" hidden="false" customHeight="false" outlineLevel="0" collapsed="false">
      <c r="A7" s="15" t="s">
        <v>38</v>
      </c>
      <c r="B7" s="16" t="n">
        <v>1800</v>
      </c>
      <c r="C7" s="15" t="s">
        <v>39</v>
      </c>
      <c r="D7" s="16" t="n">
        <v>1100</v>
      </c>
      <c r="E7" s="17" t="n">
        <f aca="false">SUMIF(Deposits!$B$6:$B$500,A7,Deposits!$C$6:$C$500)</f>
        <v>150</v>
      </c>
      <c r="F7" s="18" t="n">
        <f aca="false">D7+E7</f>
        <v>1250</v>
      </c>
      <c r="G7" s="18" t="n">
        <f aca="false">MAX(0,B7-F7)</f>
        <v>550</v>
      </c>
      <c r="H7" s="19" t="n">
        <f aca="true">MAX(0,ROUND((DATEVALUE(C7)-TODAY())/30.4,1))</f>
        <v>2.9</v>
      </c>
      <c r="I7" s="18" t="n">
        <f aca="false">IF(H7&lt;=0,G7,G7/H7)</f>
        <v>189.655172413793</v>
      </c>
      <c r="J7" s="20" t="str">
        <f aca="false">REPT("█",ROUND(MIN(1,IF(B7=0,0,F7/B7))*20,0))&amp;" "&amp;TEXT(IF(B7=0,0,F7/B7),"0%")</f>
        <v>██████████████ 69%</v>
      </c>
      <c r="K7" s="20" t="str">
        <f aca="false">IF(G7=0,"DONE",IF(H7=0,"Past due","On track"))</f>
        <v>On track</v>
      </c>
    </row>
    <row r="8" customFormat="false" ht="15" hidden="false" customHeight="false" outlineLevel="0" collapsed="false">
      <c r="A8" s="15" t="s">
        <v>40</v>
      </c>
      <c r="B8" s="16" t="n">
        <v>6000</v>
      </c>
      <c r="C8" s="15" t="s">
        <v>41</v>
      </c>
      <c r="D8" s="16" t="n">
        <v>500</v>
      </c>
      <c r="E8" s="17" t="n">
        <f aca="false">SUMIF(Deposits!$B$6:$B$500,A8,Deposits!$C$6:$C$500)</f>
        <v>0</v>
      </c>
      <c r="F8" s="18" t="n">
        <f aca="false">D8+E8</f>
        <v>500</v>
      </c>
      <c r="G8" s="18" t="n">
        <f aca="false">MAX(0,B8-F8)</f>
        <v>5500</v>
      </c>
      <c r="H8" s="19" t="n">
        <f aca="true">MAX(0,ROUND((DATEVALUE(C8)-TODAY())/30.4,1))</f>
        <v>11.4</v>
      </c>
      <c r="I8" s="18" t="n">
        <f aca="false">IF(H8&lt;=0,G8,G8/H8)</f>
        <v>482.456140350877</v>
      </c>
      <c r="J8" s="20" t="str">
        <f aca="false">REPT("█",ROUND(MIN(1,IF(B8=0,0,F8/B8))*20,0))&amp;" "&amp;TEXT(IF(B8=0,0,F8/B8),"0%")</f>
        <v>██ 8%</v>
      </c>
      <c r="K8" s="20" t="str">
        <f aca="false">IF(G8=0,"DONE",IF(H8=0,"Past due","On track"))</f>
        <v>On track</v>
      </c>
    </row>
    <row r="9" customFormat="false" ht="15" hidden="false" customHeight="false" outlineLevel="0" collapsed="false">
      <c r="A9" s="15" t="s">
        <v>42</v>
      </c>
      <c r="B9" s="16" t="n">
        <v>1200</v>
      </c>
      <c r="C9" s="15" t="s">
        <v>43</v>
      </c>
      <c r="D9" s="16" t="n">
        <v>400</v>
      </c>
      <c r="E9" s="17" t="n">
        <f aca="false">SUMIF(Deposits!$B$6:$B$500,A9,Deposits!$C$6:$C$500)</f>
        <v>100</v>
      </c>
      <c r="F9" s="18" t="n">
        <f aca="false">D9+E9</f>
        <v>500</v>
      </c>
      <c r="G9" s="18" t="n">
        <f aca="false">MAX(0,B9-F9)</f>
        <v>700</v>
      </c>
      <c r="H9" s="19" t="n">
        <f aca="true">MAX(0,ROUND((DATEVALUE(C9)-TODAY())/30.4,1))</f>
        <v>2.4</v>
      </c>
      <c r="I9" s="18" t="n">
        <f aca="false">IF(H9&lt;=0,G9,G9/H9)</f>
        <v>291.666666666667</v>
      </c>
      <c r="J9" s="20" t="str">
        <f aca="false">REPT("█",ROUND(MIN(1,IF(B9=0,0,F9/B9))*20,0))&amp;" "&amp;TEXT(IF(B9=0,0,F9/B9),"0%")</f>
        <v>████████ 42%</v>
      </c>
      <c r="K9" s="20" t="str">
        <f aca="false">IF(G9=0,"DONE",IF(H9=0,"Past due","On track"))</f>
        <v>On track</v>
      </c>
    </row>
    <row r="10" customFormat="false" ht="15" hidden="false" customHeight="false" outlineLevel="0" collapsed="false">
      <c r="A10" s="15"/>
      <c r="B10" s="16"/>
      <c r="C10" s="15"/>
      <c r="D10" s="16"/>
      <c r="E10" s="17" t="str">
        <f aca="false">IF(A10="","",SUMIF(Deposits!$B$6:$B$500,A10,Deposits!$C$6:$C$500))</f>
        <v/>
      </c>
      <c r="F10" s="18" t="str">
        <f aca="false">IF(A10="","",D10+E10)</f>
        <v/>
      </c>
      <c r="G10" s="18" t="str">
        <f aca="false">IF(A10="","",MAX(0,B10-F10))</f>
        <v/>
      </c>
      <c r="H10" s="19" t="str">
        <f aca="true">IF(A10="","",MAX(0,ROUND((DATEVALUE(C10)-TODAY())/30.4,1)))</f>
        <v/>
      </c>
      <c r="I10" s="18" t="str">
        <f aca="false">IF(A10="","",IF(H10&lt;=0,G10,G10/H10))</f>
        <v/>
      </c>
      <c r="J10" s="20" t="str">
        <f aca="false">IF(A10="","",REPT("█",ROUND(MIN(1,IF(B10=0,0,F10/B10))*20,0))&amp;" "&amp;TEXT(IF(B10=0,0,F10/B10),"0%"))</f>
        <v/>
      </c>
      <c r="K10" s="20" t="str">
        <f aca="false">IF(A10="","",IF(G10=0,"DONE",IF(H10=0,"Past due","On track")))</f>
        <v/>
      </c>
    </row>
    <row r="11" customFormat="false" ht="15" hidden="false" customHeight="false" outlineLevel="0" collapsed="false">
      <c r="A11" s="15"/>
      <c r="B11" s="16"/>
      <c r="C11" s="15"/>
      <c r="D11" s="16"/>
      <c r="E11" s="17" t="str">
        <f aca="false">IF(A11="","",SUMIF(Deposits!$B$6:$B$500,A11,Deposits!$C$6:$C$500))</f>
        <v/>
      </c>
      <c r="F11" s="18" t="str">
        <f aca="false">IF(A11="","",D11+E11)</f>
        <v/>
      </c>
      <c r="G11" s="18" t="str">
        <f aca="false">IF(A11="","",MAX(0,B11-F11))</f>
        <v/>
      </c>
      <c r="H11" s="19" t="str">
        <f aca="true">IF(A11="","",MAX(0,ROUND((DATEVALUE(C11)-TODAY())/30.4,1)))</f>
        <v/>
      </c>
      <c r="I11" s="18" t="str">
        <f aca="false">IF(A11="","",IF(H11&lt;=0,G11,G11/H11))</f>
        <v/>
      </c>
      <c r="J11" s="20" t="str">
        <f aca="false">IF(A11="","",REPT("█",ROUND(MIN(1,IF(B11=0,0,F11/B11))*20,0))&amp;" "&amp;TEXT(IF(B11=0,0,F11/B11),"0%"))</f>
        <v/>
      </c>
      <c r="K11" s="20" t="str">
        <f aca="false">IF(A11="","",IF(G11=0,"DONE",IF(H11=0,"Past due","On track")))</f>
        <v/>
      </c>
    </row>
    <row r="12" customFormat="false" ht="15" hidden="false" customHeight="false" outlineLevel="0" collapsed="false">
      <c r="A12" s="15"/>
      <c r="B12" s="16"/>
      <c r="C12" s="15"/>
      <c r="D12" s="16"/>
      <c r="E12" s="17" t="str">
        <f aca="false">IF(A12="","",SUMIF(Deposits!$B$6:$B$500,A12,Deposits!$C$6:$C$500))</f>
        <v/>
      </c>
      <c r="F12" s="18" t="str">
        <f aca="false">IF(A12="","",D12+E12)</f>
        <v/>
      </c>
      <c r="G12" s="18" t="str">
        <f aca="false">IF(A12="","",MAX(0,B12-F12))</f>
        <v/>
      </c>
      <c r="H12" s="19" t="str">
        <f aca="true">IF(A12="","",MAX(0,ROUND((DATEVALUE(C12)-TODAY())/30.4,1)))</f>
        <v/>
      </c>
      <c r="I12" s="18" t="str">
        <f aca="false">IF(A12="","",IF(H12&lt;=0,G12,G12/H12))</f>
        <v/>
      </c>
      <c r="J12" s="20" t="str">
        <f aca="false">IF(A12="","",REPT("█",ROUND(MIN(1,IF(B12=0,0,F12/B12))*20,0))&amp;" "&amp;TEXT(IF(B12=0,0,F12/B12),"0%"))</f>
        <v/>
      </c>
      <c r="K12" s="20" t="str">
        <f aca="false">IF(A12="","",IF(G12=0,"DONE",IF(H12=0,"Past due","On track")))</f>
        <v/>
      </c>
    </row>
    <row r="13" customFormat="false" ht="15" hidden="false" customHeight="false" outlineLevel="0" collapsed="false">
      <c r="A13" s="15"/>
      <c r="B13" s="16"/>
      <c r="C13" s="15"/>
      <c r="D13" s="16"/>
      <c r="E13" s="17" t="str">
        <f aca="false">IF(A13="","",SUMIF(Deposits!$B$6:$B$500,A13,Deposits!$C$6:$C$500))</f>
        <v/>
      </c>
      <c r="F13" s="18" t="str">
        <f aca="false">IF(A13="","",D13+E13)</f>
        <v/>
      </c>
      <c r="G13" s="18" t="str">
        <f aca="false">IF(A13="","",MAX(0,B13-F13))</f>
        <v/>
      </c>
      <c r="H13" s="19" t="str">
        <f aca="true">IF(A13="","",MAX(0,ROUND((DATEVALUE(C13)-TODAY())/30.4,1)))</f>
        <v/>
      </c>
      <c r="I13" s="18" t="str">
        <f aca="false">IF(A13="","",IF(H13&lt;=0,G13,G13/H13))</f>
        <v/>
      </c>
      <c r="J13" s="20" t="str">
        <f aca="false">IF(A13="","",REPT("█",ROUND(MIN(1,IF(B13=0,0,F13/B13))*20,0))&amp;" "&amp;TEXT(IF(B13=0,0,F13/B13),"0%"))</f>
        <v/>
      </c>
      <c r="K13" s="20" t="str">
        <f aca="false">IF(A13="","",IF(G13=0,"DONE",IF(H13=0,"Past due","On track")))</f>
        <v/>
      </c>
    </row>
    <row r="14" customFormat="false" ht="15" hidden="false" customHeight="false" outlineLevel="0" collapsed="false">
      <c r="A14" s="15"/>
      <c r="B14" s="16"/>
      <c r="C14" s="15"/>
      <c r="D14" s="16"/>
      <c r="E14" s="17" t="str">
        <f aca="false">IF(A14="","",SUMIF(Deposits!$B$6:$B$500,A14,Deposits!$C$6:$C$500))</f>
        <v/>
      </c>
      <c r="F14" s="18" t="str">
        <f aca="false">IF(A14="","",D14+E14)</f>
        <v/>
      </c>
      <c r="G14" s="18" t="str">
        <f aca="false">IF(A14="","",MAX(0,B14-F14))</f>
        <v/>
      </c>
      <c r="H14" s="19" t="str">
        <f aca="true">IF(A14="","",MAX(0,ROUND((DATEVALUE(C14)-TODAY())/30.4,1)))</f>
        <v/>
      </c>
      <c r="I14" s="18" t="str">
        <f aca="false">IF(A14="","",IF(H14&lt;=0,G14,G14/H14))</f>
        <v/>
      </c>
      <c r="J14" s="20" t="str">
        <f aca="false">IF(A14="","",REPT("█",ROUND(MIN(1,IF(B14=0,0,F14/B14))*20,0))&amp;" "&amp;TEXT(IF(B14=0,0,F14/B14),"0%"))</f>
        <v/>
      </c>
      <c r="K14" s="20" t="str">
        <f aca="false">IF(A14="","",IF(G14=0,"DONE",IF(H14=0,"Past due","On track")))</f>
        <v/>
      </c>
    </row>
    <row r="15" customFormat="false" ht="15" hidden="false" customHeight="false" outlineLevel="0" collapsed="false">
      <c r="A15" s="15"/>
      <c r="B15" s="16"/>
      <c r="C15" s="15"/>
      <c r="D15" s="16"/>
      <c r="E15" s="17" t="str">
        <f aca="false">IF(A15="","",SUMIF(Deposits!$B$6:$B$500,A15,Deposits!$C$6:$C$500))</f>
        <v/>
      </c>
      <c r="F15" s="18" t="str">
        <f aca="false">IF(A15="","",D15+E15)</f>
        <v/>
      </c>
      <c r="G15" s="18" t="str">
        <f aca="false">IF(A15="","",MAX(0,B15-F15))</f>
        <v/>
      </c>
      <c r="H15" s="19" t="str">
        <f aca="true">IF(A15="","",MAX(0,ROUND((DATEVALUE(C15)-TODAY())/30.4,1)))</f>
        <v/>
      </c>
      <c r="I15" s="18" t="str">
        <f aca="false">IF(A15="","",IF(H15&lt;=0,G15,G15/H15))</f>
        <v/>
      </c>
      <c r="J15" s="20" t="str">
        <f aca="false">IF(A15="","",REPT("█",ROUND(MIN(1,IF(B15=0,0,F15/B15))*20,0))&amp;" "&amp;TEXT(IF(B15=0,0,F15/B15),"0%"))</f>
        <v/>
      </c>
      <c r="K15" s="20" t="str">
        <f aca="false">IF(A15="","",IF(G15=0,"DONE",IF(H15=0,"Past due","On track")))</f>
        <v/>
      </c>
    </row>
    <row r="16" customFormat="false" ht="15" hidden="false" customHeight="false" outlineLevel="0" collapsed="false">
      <c r="A16" s="15"/>
      <c r="B16" s="16"/>
      <c r="C16" s="15"/>
      <c r="D16" s="16"/>
      <c r="E16" s="17" t="str">
        <f aca="false">IF(A16="","",SUMIF(Deposits!$B$6:$B$500,A16,Deposits!$C$6:$C$500))</f>
        <v/>
      </c>
      <c r="F16" s="18" t="str">
        <f aca="false">IF(A16="","",D16+E16)</f>
        <v/>
      </c>
      <c r="G16" s="18" t="str">
        <f aca="false">IF(A16="","",MAX(0,B16-F16))</f>
        <v/>
      </c>
      <c r="H16" s="19" t="str">
        <f aca="true">IF(A16="","",MAX(0,ROUND((DATEVALUE(C16)-TODAY())/30.4,1)))</f>
        <v/>
      </c>
      <c r="I16" s="18" t="str">
        <f aca="false">IF(A16="","",IF(H16&lt;=0,G16,G16/H16))</f>
        <v/>
      </c>
      <c r="J16" s="20" t="str">
        <f aca="false">IF(A16="","",REPT("█",ROUND(MIN(1,IF(B16=0,0,F16/B16))*20,0))&amp;" "&amp;TEXT(IF(B16=0,0,F16/B16),"0%"))</f>
        <v/>
      </c>
      <c r="K16" s="20" t="str">
        <f aca="false">IF(A16="","",IF(G16=0,"DONE",IF(H16=0,"Past due","On track")))</f>
        <v/>
      </c>
    </row>
    <row r="17" customFormat="false" ht="15" hidden="false" customHeight="false" outlineLevel="0" collapsed="false">
      <c r="A17" s="15"/>
      <c r="B17" s="16"/>
      <c r="C17" s="15"/>
      <c r="D17" s="16"/>
      <c r="E17" s="17" t="str">
        <f aca="false">IF(A17="","",SUMIF(Deposits!$B$6:$B$500,A17,Deposits!$C$6:$C$500))</f>
        <v/>
      </c>
      <c r="F17" s="18" t="str">
        <f aca="false">IF(A17="","",D17+E17)</f>
        <v/>
      </c>
      <c r="G17" s="18" t="str">
        <f aca="false">IF(A17="","",MAX(0,B17-F17))</f>
        <v/>
      </c>
      <c r="H17" s="19" t="str">
        <f aca="true">IF(A17="","",MAX(0,ROUND((DATEVALUE(C17)-TODAY())/30.4,1)))</f>
        <v/>
      </c>
      <c r="I17" s="18" t="str">
        <f aca="false">IF(A17="","",IF(H17&lt;=0,G17,G17/H17))</f>
        <v/>
      </c>
      <c r="J17" s="20" t="str">
        <f aca="false">IF(A17="","",REPT("█",ROUND(MIN(1,IF(B17=0,0,F17/B17))*20,0))&amp;" "&amp;TEXT(IF(B17=0,0,F17/B17),"0%"))</f>
        <v/>
      </c>
      <c r="K17" s="20" t="str">
        <f aca="false">IF(A17="","",IF(G17=0,"DONE",IF(H17=0,"Past due","On track")))</f>
        <v/>
      </c>
    </row>
    <row r="18" customFormat="false" ht="15" hidden="false" customHeight="false" outlineLevel="0" collapsed="false">
      <c r="A18" s="15"/>
      <c r="B18" s="16"/>
      <c r="C18" s="15"/>
      <c r="D18" s="16"/>
      <c r="E18" s="17" t="str">
        <f aca="false">IF(A18="","",SUMIF(Deposits!$B$6:$B$500,A18,Deposits!$C$6:$C$500))</f>
        <v/>
      </c>
      <c r="F18" s="18" t="str">
        <f aca="false">IF(A18="","",D18+E18)</f>
        <v/>
      </c>
      <c r="G18" s="18" t="str">
        <f aca="false">IF(A18="","",MAX(0,B18-F18))</f>
        <v/>
      </c>
      <c r="H18" s="19" t="str">
        <f aca="true">IF(A18="","",MAX(0,ROUND((DATEVALUE(C18)-TODAY())/30.4,1)))</f>
        <v/>
      </c>
      <c r="I18" s="18" t="str">
        <f aca="false">IF(A18="","",IF(H18&lt;=0,G18,G18/H18))</f>
        <v/>
      </c>
      <c r="J18" s="20" t="str">
        <f aca="false">IF(A18="","",REPT("█",ROUND(MIN(1,IF(B18=0,0,F18/B18))*20,0))&amp;" "&amp;TEXT(IF(B18=0,0,F18/B18),"0%"))</f>
        <v/>
      </c>
      <c r="K18" s="20" t="str">
        <f aca="false">IF(A18="","",IF(G18=0,"DONE",IF(H18=0,"Past due","On track")))</f>
        <v/>
      </c>
    </row>
    <row r="19" customFormat="false" ht="15" hidden="false" customHeight="false" outlineLevel="0" collapsed="false">
      <c r="A19" s="15"/>
      <c r="B19" s="16"/>
      <c r="C19" s="15"/>
      <c r="D19" s="16"/>
      <c r="E19" s="17" t="str">
        <f aca="false">IF(A19="","",SUMIF(Deposits!$B$6:$B$500,A19,Deposits!$C$6:$C$500))</f>
        <v/>
      </c>
      <c r="F19" s="18" t="str">
        <f aca="false">IF(A19="","",D19+E19)</f>
        <v/>
      </c>
      <c r="G19" s="18" t="str">
        <f aca="false">IF(A19="","",MAX(0,B19-F19))</f>
        <v/>
      </c>
      <c r="H19" s="19" t="str">
        <f aca="true">IF(A19="","",MAX(0,ROUND((DATEVALUE(C19)-TODAY())/30.4,1)))</f>
        <v/>
      </c>
      <c r="I19" s="18" t="str">
        <f aca="false">IF(A19="","",IF(H19&lt;=0,G19,G19/H19))</f>
        <v/>
      </c>
      <c r="J19" s="20" t="str">
        <f aca="false">IF(A19="","",REPT("█",ROUND(MIN(1,IF(B19=0,0,F19/B19))*20,0))&amp;" "&amp;TEXT(IF(B19=0,0,F19/B19),"0%"))</f>
        <v/>
      </c>
      <c r="K19" s="20" t="str">
        <f aca="false">IF(A19="","",IF(G19=0,"DONE",IF(H19=0,"Past due","On track")))</f>
        <v/>
      </c>
    </row>
    <row r="20" customFormat="false" ht="15" hidden="false" customHeight="false" outlineLevel="0" collapsed="false">
      <c r="A20" s="21" t="s">
        <v>44</v>
      </c>
      <c r="B20" s="22" t="n">
        <f aca="false">SUM(B5:B19)</f>
        <v>23500</v>
      </c>
      <c r="F20" s="22" t="n">
        <f aca="false">SUM(F5:F19)</f>
        <v>7350</v>
      </c>
      <c r="G20" s="22" t="n">
        <f aca="false">SUM(G5:G19)</f>
        <v>16150</v>
      </c>
      <c r="I20" s="22" t="n">
        <f aca="false">SUM(I5:I19)</f>
        <v>2231.70548140139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30"/>
  </cols>
  <sheetData>
    <row r="1" customFormat="false" ht="17.35" hidden="false" customHeight="false" outlineLevel="0" collapsed="false">
      <c r="A1" s="1" t="s">
        <v>45</v>
      </c>
    </row>
    <row r="2" customFormat="false" ht="15" hidden="false" customHeight="false" outlineLevel="0" collapsed="false">
      <c r="A2" s="2" t="s">
        <v>46</v>
      </c>
    </row>
    <row r="4" customFormat="false" ht="15" hidden="false" customHeight="false" outlineLevel="0" collapsed="false">
      <c r="A4" s="2" t="s">
        <v>22</v>
      </c>
    </row>
    <row r="5" customFormat="false" ht="30" hidden="false" customHeight="true" outlineLevel="0" collapsed="false">
      <c r="A5" s="14" t="s">
        <v>47</v>
      </c>
      <c r="B5" s="14" t="s">
        <v>23</v>
      </c>
      <c r="C5" s="14" t="s">
        <v>48</v>
      </c>
      <c r="D5" s="14" t="s">
        <v>49</v>
      </c>
    </row>
    <row r="6" customFormat="false" ht="15" hidden="false" customHeight="false" outlineLevel="0" collapsed="false">
      <c r="A6" s="15" t="s">
        <v>50</v>
      </c>
      <c r="B6" s="15" t="s">
        <v>34</v>
      </c>
      <c r="C6" s="16" t="n">
        <v>400</v>
      </c>
      <c r="D6" s="15"/>
    </row>
    <row r="7" customFormat="false" ht="15" hidden="false" customHeight="false" outlineLevel="0" collapsed="false">
      <c r="A7" s="15" t="s">
        <v>51</v>
      </c>
      <c r="B7" s="15" t="s">
        <v>36</v>
      </c>
      <c r="C7" s="16" t="n">
        <v>200</v>
      </c>
      <c r="D7" s="15"/>
    </row>
    <row r="8" customFormat="false" ht="15" hidden="false" customHeight="false" outlineLevel="0" collapsed="false">
      <c r="A8" s="15" t="s">
        <v>52</v>
      </c>
      <c r="B8" s="15" t="s">
        <v>34</v>
      </c>
      <c r="C8" s="16" t="n">
        <v>400</v>
      </c>
      <c r="D8" s="15"/>
    </row>
    <row r="9" customFormat="false" ht="15" hidden="false" customHeight="false" outlineLevel="0" collapsed="false">
      <c r="A9" s="15" t="s">
        <v>52</v>
      </c>
      <c r="B9" s="15" t="s">
        <v>38</v>
      </c>
      <c r="C9" s="16" t="n">
        <v>150</v>
      </c>
      <c r="D9" s="15"/>
    </row>
    <row r="10" customFormat="false" ht="15" hidden="false" customHeight="false" outlineLevel="0" collapsed="false">
      <c r="A10" s="15" t="s">
        <v>53</v>
      </c>
      <c r="B10" s="15" t="s">
        <v>42</v>
      </c>
      <c r="C10" s="16" t="n">
        <v>100</v>
      </c>
      <c r="D10" s="15"/>
    </row>
    <row r="11" customFormat="false" ht="15" hidden="false" customHeight="false" outlineLevel="0" collapsed="false">
      <c r="A11" s="15"/>
      <c r="B11" s="15"/>
      <c r="C11" s="16"/>
      <c r="D11" s="15"/>
    </row>
    <row r="12" customFormat="false" ht="15" hidden="false" customHeight="false" outlineLevel="0" collapsed="false">
      <c r="A12" s="15"/>
      <c r="B12" s="15"/>
      <c r="C12" s="16"/>
      <c r="D12" s="15"/>
    </row>
    <row r="13" customFormat="false" ht="15" hidden="false" customHeight="false" outlineLevel="0" collapsed="false">
      <c r="A13" s="15"/>
      <c r="B13" s="15"/>
      <c r="C13" s="16"/>
      <c r="D13" s="15"/>
    </row>
    <row r="14" customFormat="false" ht="15" hidden="false" customHeight="false" outlineLevel="0" collapsed="false">
      <c r="A14" s="15"/>
      <c r="B14" s="15"/>
      <c r="C14" s="16"/>
      <c r="D14" s="15"/>
    </row>
    <row r="15" customFormat="false" ht="15" hidden="false" customHeight="false" outlineLevel="0" collapsed="false">
      <c r="A15" s="15"/>
      <c r="B15" s="15"/>
      <c r="C15" s="16"/>
      <c r="D15" s="15"/>
    </row>
    <row r="16" customFormat="false" ht="15" hidden="false" customHeight="false" outlineLevel="0" collapsed="false">
      <c r="A16" s="15"/>
      <c r="B16" s="15"/>
      <c r="C16" s="16"/>
      <c r="D16" s="15"/>
    </row>
    <row r="17" customFormat="false" ht="15" hidden="false" customHeight="false" outlineLevel="0" collapsed="false">
      <c r="A17" s="15"/>
      <c r="B17" s="15"/>
      <c r="C17" s="16"/>
      <c r="D17" s="15"/>
    </row>
    <row r="18" customFormat="false" ht="15" hidden="false" customHeight="false" outlineLevel="0" collapsed="false">
      <c r="A18" s="15"/>
      <c r="B18" s="15"/>
      <c r="C18" s="16"/>
      <c r="D18" s="15"/>
    </row>
    <row r="19" customFormat="false" ht="15" hidden="false" customHeight="false" outlineLevel="0" collapsed="false">
      <c r="A19" s="15"/>
      <c r="B19" s="15"/>
      <c r="C19" s="16"/>
      <c r="D19" s="15"/>
    </row>
    <row r="20" customFormat="false" ht="15" hidden="false" customHeight="false" outlineLevel="0" collapsed="false">
      <c r="A20" s="15"/>
      <c r="B20" s="15"/>
      <c r="C20" s="16"/>
      <c r="D20" s="15"/>
    </row>
    <row r="21" customFormat="false" ht="15" hidden="false" customHeight="false" outlineLevel="0" collapsed="false">
      <c r="A21" s="15"/>
      <c r="B21" s="15"/>
      <c r="C21" s="16"/>
      <c r="D21" s="15"/>
    </row>
    <row r="22" customFormat="false" ht="15" hidden="false" customHeight="false" outlineLevel="0" collapsed="false">
      <c r="A22" s="15"/>
      <c r="B22" s="15"/>
      <c r="C22" s="16"/>
      <c r="D22" s="15"/>
    </row>
    <row r="23" customFormat="false" ht="15" hidden="false" customHeight="false" outlineLevel="0" collapsed="false">
      <c r="A23" s="15"/>
      <c r="B23" s="15"/>
      <c r="C23" s="16"/>
      <c r="D23" s="15"/>
    </row>
    <row r="24" customFormat="false" ht="15" hidden="false" customHeight="false" outlineLevel="0" collapsed="false">
      <c r="A24" s="15"/>
      <c r="B24" s="15"/>
      <c r="C24" s="16"/>
      <c r="D24" s="15"/>
    </row>
    <row r="25" customFormat="false" ht="15" hidden="false" customHeight="false" outlineLevel="0" collapsed="false">
      <c r="A25" s="15"/>
      <c r="B25" s="15"/>
      <c r="C25" s="16"/>
      <c r="D25" s="15"/>
    </row>
    <row r="26" customFormat="false" ht="15" hidden="false" customHeight="false" outlineLevel="0" collapsed="false">
      <c r="A26" s="15"/>
      <c r="B26" s="15"/>
      <c r="C26" s="16"/>
      <c r="D26" s="15"/>
    </row>
    <row r="27" customFormat="false" ht="15" hidden="false" customHeight="false" outlineLevel="0" collapsed="false">
      <c r="A27" s="15"/>
      <c r="B27" s="15"/>
      <c r="C27" s="16"/>
      <c r="D27" s="15"/>
    </row>
    <row r="28" customFormat="false" ht="15" hidden="false" customHeight="false" outlineLevel="0" collapsed="false">
      <c r="A28" s="15"/>
      <c r="B28" s="15"/>
      <c r="C28" s="16"/>
      <c r="D28" s="15"/>
    </row>
    <row r="29" customFormat="false" ht="15" hidden="false" customHeight="false" outlineLevel="0" collapsed="false">
      <c r="A29" s="15"/>
      <c r="B29" s="15"/>
      <c r="C29" s="16"/>
      <c r="D29" s="15"/>
    </row>
    <row r="30" customFormat="false" ht="15" hidden="false" customHeight="false" outlineLevel="0" collapsed="false">
      <c r="A30" s="15"/>
      <c r="B30" s="15"/>
      <c r="C30" s="16"/>
      <c r="D30" s="15"/>
    </row>
    <row r="31" customFormat="false" ht="15" hidden="false" customHeight="false" outlineLevel="0" collapsed="false">
      <c r="A31" s="15"/>
      <c r="B31" s="15"/>
      <c r="C31" s="16"/>
      <c r="D31" s="15"/>
    </row>
    <row r="32" customFormat="false" ht="15" hidden="false" customHeight="false" outlineLevel="0" collapsed="false">
      <c r="A32" s="15"/>
      <c r="B32" s="15"/>
      <c r="C32" s="16"/>
      <c r="D32" s="15"/>
    </row>
    <row r="33" customFormat="false" ht="15" hidden="false" customHeight="false" outlineLevel="0" collapsed="false">
      <c r="A33" s="15"/>
      <c r="B33" s="15"/>
      <c r="C33" s="16"/>
      <c r="D33" s="15"/>
    </row>
    <row r="34" customFormat="false" ht="15" hidden="false" customHeight="false" outlineLevel="0" collapsed="false">
      <c r="A34" s="15"/>
      <c r="B34" s="15"/>
      <c r="C34" s="16"/>
      <c r="D34" s="15"/>
    </row>
    <row r="35" customFormat="false" ht="15" hidden="false" customHeight="false" outlineLevel="0" collapsed="false">
      <c r="A35" s="15"/>
      <c r="B35" s="15"/>
      <c r="C35" s="16"/>
      <c r="D35" s="15"/>
    </row>
    <row r="36" customFormat="false" ht="15" hidden="false" customHeight="false" outlineLevel="0" collapsed="false">
      <c r="A36" s="15"/>
      <c r="B36" s="15"/>
      <c r="C36" s="16"/>
      <c r="D36" s="15"/>
    </row>
    <row r="37" customFormat="false" ht="15" hidden="false" customHeight="false" outlineLevel="0" collapsed="false">
      <c r="A37" s="15"/>
      <c r="B37" s="15"/>
      <c r="C37" s="16"/>
      <c r="D37" s="15"/>
    </row>
    <row r="38" customFormat="false" ht="15" hidden="false" customHeight="false" outlineLevel="0" collapsed="false">
      <c r="A38" s="15"/>
      <c r="B38" s="15"/>
      <c r="C38" s="16"/>
      <c r="D38" s="15"/>
    </row>
    <row r="39" customFormat="false" ht="15" hidden="false" customHeight="false" outlineLevel="0" collapsed="false">
      <c r="A39" s="15"/>
      <c r="B39" s="15"/>
      <c r="C39" s="16"/>
      <c r="D39" s="15"/>
    </row>
    <row r="40" customFormat="false" ht="15" hidden="false" customHeight="false" outlineLevel="0" collapsed="false">
      <c r="A40" s="15"/>
      <c r="B40" s="15"/>
      <c r="C40" s="16"/>
      <c r="D40" s="15"/>
    </row>
    <row r="41" customFormat="false" ht="15" hidden="false" customHeight="false" outlineLevel="0" collapsed="false">
      <c r="A41" s="15"/>
      <c r="B41" s="15"/>
      <c r="C41" s="16"/>
      <c r="D41" s="15"/>
    </row>
    <row r="42" customFormat="false" ht="15" hidden="false" customHeight="false" outlineLevel="0" collapsed="false">
      <c r="A42" s="15"/>
      <c r="B42" s="15"/>
      <c r="C42" s="16"/>
      <c r="D42" s="15"/>
    </row>
    <row r="43" customFormat="false" ht="15" hidden="false" customHeight="false" outlineLevel="0" collapsed="false">
      <c r="A43" s="15"/>
      <c r="B43" s="15"/>
      <c r="C43" s="16"/>
      <c r="D43" s="15"/>
    </row>
    <row r="44" customFormat="false" ht="15" hidden="false" customHeight="false" outlineLevel="0" collapsed="false">
      <c r="A44" s="15"/>
      <c r="B44" s="15"/>
      <c r="C44" s="16"/>
      <c r="D44" s="15"/>
    </row>
    <row r="45" customFormat="false" ht="15" hidden="false" customHeight="false" outlineLevel="0" collapsed="false">
      <c r="A45" s="15"/>
      <c r="B45" s="15"/>
      <c r="C45" s="16"/>
      <c r="D45" s="15"/>
    </row>
    <row r="46" customFormat="false" ht="15" hidden="false" customHeight="false" outlineLevel="0" collapsed="false">
      <c r="A46" s="15"/>
      <c r="B46" s="15"/>
      <c r="C46" s="16"/>
      <c r="D46" s="15"/>
    </row>
    <row r="47" customFormat="false" ht="15" hidden="false" customHeight="false" outlineLevel="0" collapsed="false">
      <c r="A47" s="15"/>
      <c r="B47" s="15"/>
      <c r="C47" s="16"/>
      <c r="D47" s="15"/>
    </row>
    <row r="48" customFormat="false" ht="15" hidden="false" customHeight="false" outlineLevel="0" collapsed="false">
      <c r="A48" s="15"/>
      <c r="B48" s="15"/>
      <c r="C48" s="16"/>
      <c r="D48" s="15"/>
    </row>
    <row r="49" customFormat="false" ht="15" hidden="false" customHeight="false" outlineLevel="0" collapsed="false">
      <c r="A49" s="15"/>
      <c r="B49" s="15"/>
      <c r="C49" s="16"/>
      <c r="D49" s="15"/>
    </row>
    <row r="50" customFormat="false" ht="15" hidden="false" customHeight="false" outlineLevel="0" collapsed="false">
      <c r="A50" s="15"/>
      <c r="B50" s="15"/>
      <c r="C50" s="16"/>
      <c r="D50" s="15"/>
    </row>
    <row r="51" customFormat="false" ht="15" hidden="false" customHeight="false" outlineLevel="0" collapsed="false">
      <c r="A51" s="15"/>
      <c r="B51" s="15"/>
      <c r="C51" s="16"/>
      <c r="D51" s="15"/>
    </row>
    <row r="52" customFormat="false" ht="15" hidden="false" customHeight="false" outlineLevel="0" collapsed="false">
      <c r="A52" s="15"/>
      <c r="B52" s="15"/>
      <c r="C52" s="16"/>
      <c r="D52" s="15"/>
    </row>
    <row r="53" customFormat="false" ht="15" hidden="false" customHeight="false" outlineLevel="0" collapsed="false">
      <c r="A53" s="15"/>
      <c r="B53" s="15"/>
      <c r="C53" s="16"/>
      <c r="D53" s="15"/>
    </row>
    <row r="54" customFormat="false" ht="15" hidden="false" customHeight="false" outlineLevel="0" collapsed="false">
      <c r="A54" s="15"/>
      <c r="B54" s="15"/>
      <c r="C54" s="16"/>
      <c r="D54" s="15"/>
    </row>
    <row r="55" customFormat="false" ht="15" hidden="false" customHeight="false" outlineLevel="0" collapsed="false">
      <c r="A55" s="15"/>
      <c r="B55" s="15"/>
      <c r="C55" s="16"/>
      <c r="D55" s="15"/>
    </row>
    <row r="56" customFormat="false" ht="15" hidden="false" customHeight="false" outlineLevel="0" collapsed="false">
      <c r="A56" s="15"/>
      <c r="B56" s="15"/>
      <c r="C56" s="16"/>
      <c r="D56" s="15"/>
    </row>
    <row r="57" customFormat="false" ht="15" hidden="false" customHeight="false" outlineLevel="0" collapsed="false">
      <c r="A57" s="15"/>
      <c r="B57" s="15"/>
      <c r="C57" s="16"/>
      <c r="D57" s="15"/>
    </row>
    <row r="58" customFormat="false" ht="15" hidden="false" customHeight="false" outlineLevel="0" collapsed="false">
      <c r="A58" s="15"/>
      <c r="B58" s="15"/>
      <c r="C58" s="16"/>
      <c r="D58" s="15"/>
    </row>
    <row r="59" customFormat="false" ht="15" hidden="false" customHeight="false" outlineLevel="0" collapsed="false">
      <c r="A59" s="15"/>
      <c r="B59" s="15"/>
      <c r="C59" s="16"/>
      <c r="D59" s="15"/>
    </row>
    <row r="60" customFormat="false" ht="15" hidden="false" customHeight="false" outlineLevel="0" collapsed="false">
      <c r="A60" s="15"/>
      <c r="B60" s="15"/>
      <c r="C60" s="16"/>
      <c r="D60" s="15"/>
    </row>
    <row r="61" customFormat="false" ht="15" hidden="false" customHeight="false" outlineLevel="0" collapsed="false">
      <c r="A61" s="15"/>
      <c r="B61" s="15"/>
      <c r="C61" s="16"/>
      <c r="D61" s="15"/>
    </row>
    <row r="62" customFormat="false" ht="15" hidden="false" customHeight="false" outlineLevel="0" collapsed="false">
      <c r="A62" s="15"/>
      <c r="B62" s="15"/>
      <c r="C62" s="16"/>
      <c r="D62" s="15"/>
    </row>
    <row r="63" customFormat="false" ht="15" hidden="false" customHeight="false" outlineLevel="0" collapsed="false">
      <c r="A63" s="15"/>
      <c r="B63" s="15"/>
      <c r="C63" s="16"/>
      <c r="D63" s="15"/>
    </row>
    <row r="64" customFormat="false" ht="15" hidden="false" customHeight="false" outlineLevel="0" collapsed="false">
      <c r="A64" s="15"/>
      <c r="B64" s="15"/>
      <c r="C64" s="16"/>
      <c r="D64" s="15"/>
    </row>
    <row r="65" customFormat="false" ht="15" hidden="false" customHeight="false" outlineLevel="0" collapsed="false">
      <c r="A65" s="15"/>
      <c r="B65" s="15"/>
      <c r="C65" s="16"/>
      <c r="D65" s="15"/>
    </row>
    <row r="66" customFormat="false" ht="15" hidden="false" customHeight="false" outlineLevel="0" collapsed="false">
      <c r="A66" s="15"/>
      <c r="B66" s="15"/>
      <c r="C66" s="16"/>
      <c r="D66" s="15"/>
    </row>
    <row r="67" customFormat="false" ht="15" hidden="false" customHeight="false" outlineLevel="0" collapsed="false">
      <c r="A67" s="15"/>
      <c r="B67" s="15"/>
      <c r="C67" s="16"/>
      <c r="D67" s="15"/>
    </row>
    <row r="68" customFormat="false" ht="15" hidden="false" customHeight="false" outlineLevel="0" collapsed="false">
      <c r="A68" s="15"/>
      <c r="B68" s="15"/>
      <c r="C68" s="16"/>
      <c r="D68" s="15"/>
    </row>
    <row r="69" customFormat="false" ht="15" hidden="false" customHeight="false" outlineLevel="0" collapsed="false">
      <c r="A69" s="15"/>
      <c r="B69" s="15"/>
      <c r="C69" s="16"/>
      <c r="D69" s="15"/>
    </row>
    <row r="70" customFormat="false" ht="15" hidden="false" customHeight="false" outlineLevel="0" collapsed="false">
      <c r="A70" s="15"/>
      <c r="B70" s="15"/>
      <c r="C70" s="16"/>
      <c r="D70" s="15"/>
    </row>
    <row r="71" customFormat="false" ht="15" hidden="false" customHeight="false" outlineLevel="0" collapsed="false">
      <c r="A71" s="15"/>
      <c r="B71" s="15"/>
      <c r="C71" s="16"/>
      <c r="D71" s="15"/>
    </row>
    <row r="72" customFormat="false" ht="15" hidden="false" customHeight="false" outlineLevel="0" collapsed="false">
      <c r="A72" s="15"/>
      <c r="B72" s="15"/>
      <c r="C72" s="16"/>
      <c r="D72" s="15"/>
    </row>
    <row r="73" customFormat="false" ht="15" hidden="false" customHeight="false" outlineLevel="0" collapsed="false">
      <c r="A73" s="15"/>
      <c r="B73" s="15"/>
      <c r="C73" s="16"/>
      <c r="D73" s="15"/>
    </row>
    <row r="74" customFormat="false" ht="15" hidden="false" customHeight="false" outlineLevel="0" collapsed="false">
      <c r="A74" s="15"/>
      <c r="B74" s="15"/>
      <c r="C74" s="16"/>
      <c r="D74" s="15"/>
    </row>
    <row r="75" customFormat="false" ht="15" hidden="false" customHeight="false" outlineLevel="0" collapsed="false">
      <c r="A75" s="15"/>
      <c r="B75" s="15"/>
      <c r="C75" s="16"/>
      <c r="D75" s="15"/>
    </row>
    <row r="76" customFormat="false" ht="15" hidden="false" customHeight="false" outlineLevel="0" collapsed="false">
      <c r="A76" s="15"/>
      <c r="B76" s="15"/>
      <c r="C76" s="16"/>
      <c r="D76" s="15"/>
    </row>
    <row r="77" customFormat="false" ht="15" hidden="false" customHeight="false" outlineLevel="0" collapsed="false">
      <c r="A77" s="15"/>
      <c r="B77" s="15"/>
      <c r="C77" s="16"/>
      <c r="D77" s="15"/>
    </row>
    <row r="78" customFormat="false" ht="15" hidden="false" customHeight="false" outlineLevel="0" collapsed="false">
      <c r="A78" s="15"/>
      <c r="B78" s="15"/>
      <c r="C78" s="16"/>
      <c r="D78" s="15"/>
    </row>
    <row r="79" customFormat="false" ht="15" hidden="false" customHeight="false" outlineLevel="0" collapsed="false">
      <c r="A79" s="15"/>
      <c r="B79" s="15"/>
      <c r="C79" s="16"/>
      <c r="D79" s="15"/>
    </row>
    <row r="80" customFormat="false" ht="15" hidden="false" customHeight="false" outlineLevel="0" collapsed="false">
      <c r="A80" s="15"/>
      <c r="B80" s="15"/>
      <c r="C80" s="16"/>
      <c r="D80" s="15"/>
    </row>
    <row r="81" customFormat="false" ht="15" hidden="false" customHeight="false" outlineLevel="0" collapsed="false">
      <c r="A81" s="15"/>
      <c r="B81" s="15"/>
      <c r="C81" s="16"/>
      <c r="D81" s="15"/>
    </row>
    <row r="82" customFormat="false" ht="15" hidden="false" customHeight="false" outlineLevel="0" collapsed="false">
      <c r="A82" s="15"/>
      <c r="B82" s="15"/>
      <c r="C82" s="16"/>
      <c r="D82" s="15"/>
    </row>
    <row r="83" customFormat="false" ht="15" hidden="false" customHeight="false" outlineLevel="0" collapsed="false">
      <c r="A83" s="15"/>
      <c r="B83" s="15"/>
      <c r="C83" s="16"/>
      <c r="D83" s="15"/>
    </row>
    <row r="84" customFormat="false" ht="15" hidden="false" customHeight="false" outlineLevel="0" collapsed="false">
      <c r="A84" s="15"/>
      <c r="B84" s="15"/>
      <c r="C84" s="16"/>
      <c r="D84" s="15"/>
    </row>
    <row r="85" customFormat="false" ht="15" hidden="false" customHeight="false" outlineLevel="0" collapsed="false">
      <c r="A85" s="15"/>
      <c r="B85" s="15"/>
      <c r="C85" s="16"/>
      <c r="D85" s="15"/>
    </row>
    <row r="86" customFormat="false" ht="15" hidden="false" customHeight="false" outlineLevel="0" collapsed="false">
      <c r="A86" s="15"/>
      <c r="B86" s="15"/>
      <c r="C86" s="16"/>
      <c r="D86" s="15"/>
    </row>
    <row r="87" customFormat="false" ht="15" hidden="false" customHeight="false" outlineLevel="0" collapsed="false">
      <c r="A87" s="15"/>
      <c r="B87" s="15"/>
      <c r="C87" s="16"/>
      <c r="D87" s="15"/>
    </row>
    <row r="88" customFormat="false" ht="15" hidden="false" customHeight="false" outlineLevel="0" collapsed="false">
      <c r="A88" s="15"/>
      <c r="B88" s="15"/>
      <c r="C88" s="16"/>
      <c r="D88" s="15"/>
    </row>
    <row r="89" customFormat="false" ht="15" hidden="false" customHeight="false" outlineLevel="0" collapsed="false">
      <c r="A89" s="15"/>
      <c r="B89" s="15"/>
      <c r="C89" s="16"/>
      <c r="D89" s="15"/>
    </row>
    <row r="90" customFormat="false" ht="15" hidden="false" customHeight="false" outlineLevel="0" collapsed="false">
      <c r="A90" s="15"/>
      <c r="B90" s="15"/>
      <c r="C90" s="16"/>
      <c r="D90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2026-09-18T06:47:52Z</dcterms:created>
  <dc:creator>openpyxl</dc:creator>
  <dc:description/>
  <dc:language>en-US</dc:language>
  <cp:lastModifiedBy/>
  <dcterms:modified xsi:type="dcterms:W3CDTF">2026-09-18T06:47:53Z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