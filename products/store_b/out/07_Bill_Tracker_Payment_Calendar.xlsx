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Calendar" sheetId="3" state="visible" r:id="rId5"/>
    <sheet name="Bil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<sst xmlns="http://schemas.openxmlformats.org/spreadsheetml/2006/main" count="180" uniqueCount="65">
  <si>
    <t xml:space="preserve">Monthly Bill Tracker &amp; Payment Calendar</t>
  </si>
  <si>
    <t xml:space="preserve">Simple Sheets Co. — Excel + Google Sheets</t>
  </si>
  <si>
    <t xml:space="preserve">Setup</t>
  </si>
  <si>
    <t xml:space="preserve">1. List every recurring bill once with amount, due day, and how it's paid.</t>
  </si>
  <si>
    <t xml:space="preserve">2. Each month, mark bills paid in the month column. Unpaid totals and what's due this week show at the top.</t>
  </si>
  <si>
    <t xml:space="preserve">3. The Calendar view shows the amount due on each day of the month.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</si>
  <si>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</si>
  <si>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</si>
  <si>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</si>
  <si>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</si>
  <si>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</si>
  <si>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For planning and educational use only. Not financial, legal, or tax advice. Every number is an estimate you should verify for your own business.</t>
  </si>
  <si>
    <t xml:space="preserve">Bills Dashboard</t>
  </si>
  <si>
    <t xml:space="preserve">This month at a glance.</t>
  </si>
  <si>
    <t xml:space="preserve">MONTHLY BILLS</t>
  </si>
  <si>
    <t xml:space="preserve">PAID THIS MONTH</t>
  </si>
  <si>
    <t xml:space="preserve">STILL UNPAID</t>
  </si>
  <si>
    <t xml:space="preserve">DUE IN 7 DAYS</t>
  </si>
  <si>
    <t xml:space="preserve">OVERDUE</t>
  </si>
  <si>
    <t xml:space="preserve">PAID</t>
  </si>
  <si>
    <t xml:space="preserve">Paid this month</t>
  </si>
  <si>
    <t xml:space="preserve">Payment Calendar</t>
  </si>
  <si>
    <t xml:space="preserve">Amount due each day of the month.</t>
  </si>
  <si>
    <t xml:space="preserve">Amount due</t>
  </si>
  <si>
    <t xml:space="preserve">Day</t>
  </si>
  <si>
    <t xml:space="preserve">Bills</t>
  </si>
  <si>
    <t xml:space="preserve">How to use: type your numbers in the yellow cells (blue text). Everything else calculates.</t>
  </si>
  <si>
    <t xml:space="preserve">Current month (1–12)</t>
  </si>
  <si>
    <t xml:space="preserve">Today's day of month</t>
  </si>
  <si>
    <t xml:space="preserve">Bill</t>
  </si>
  <si>
    <t xml:space="preserve">Amount</t>
  </si>
  <si>
    <t xml:space="preserve">Due day</t>
  </si>
  <si>
    <t xml:space="preserve">Auto-pay?</t>
  </si>
  <si>
    <t xml:space="preserve">Account / method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</si>
  <si>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</si>
  <si>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</si>
  <si>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</si>
  <si>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</si>
  <si>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</si>
  <si>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</si>
  <si>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</si>
  <si>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</si>
  <si>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</si>
  <si>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</si>
  <si>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</si>
  <si>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</si>
  <si>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Rent</t>
  </si>
  <si>
    <t xml:space="preserve">N</t>
  </si>
  <si>
    <t xml:space="preserve">Checking</t>
  </si>
  <si>
    <t xml:space="preserve">Y</t>
  </si>
  <si>
    <t xml:space="preserve">Electric</t>
  </si>
  <si>
    <t xml:space="preserve">Visa 4417</t>
  </si>
  <si>
    <t xml:space="preserve">Water/trash</t>
  </si>
  <si>
    <t xml:space="preserve">Internet</t>
  </si>
  <si>
    <t xml:space="preserve">Phone</t>
  </si>
  <si>
    <t xml:space="preserve">Car payment</t>
  </si>
  <si>
    <t xml:space="preserve">Car insurance</t>
  </si>
  <si>
    <t xml:space="preserve">Streaming</t>
  </si>
  <si>
    <t xml:space="preserve">Gym</t>
  </si>
  <si>
    <t xml:space="preserve">Credit card min</t>
  </si>
  <si>
    <t xml:space="preserve">Student loan</t>
  </si>
  <si>
    <t xml:space="preserve">TOTAL monthly bills</t>
  </si>
  <si>
    <t xml:space="preserve">Still unpaid this month</t>
  </si>
  <si>
    <t xml:space="preserve">Due in the next 7 days (unpaid)</t>
  </si>
  <si>
    <t xml:space="preserve">Overdue (unpaid, due day passed)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</si>
</sst>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#,##0;\(#,##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b val="true"/>
      <sz val="20"/>
      <color rgb="FFB23B3B"/>
      <name val="Arial"/>
      <family val="0"/>
      <charset val="1"/>
    </font>
    <font>
      <sz val="12"/>
      <color rgb="FF2E6F7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2E6F73"/>
        <bgColor rgb="FF008080"/>
      </patternFill>
    </fill>
    <fill>
      <patternFill patternType="solid">
        <fgColor rgb="FFFBF6E9"/>
        <bgColor rgb="FFF4F1EC"/>
      </patternFill>
    </fill>
    <fill>
      <patternFill patternType="solid">
        <fgColor rgb="FFFFE9A8"/>
        <bgColor rgb="FFFBF6E9"/>
      </patternFill>
    </fill>
    <fill>
      <patternFill patternType="solid">
        <fgColor rgb="FFE7E6E6"/>
        <bgColor rgb="FFF4F1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878787"/>
      <rgbColor rgb="FF9999FF"/>
      <rgbColor rgb="FFB23B3B"/>
      <rgbColor rgb="FFFBF6E9"/>
      <rgbColor rgb="FFF4F1EC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9A8"/>
      <rgbColor rgb="FF99CCFF"/>
      <rgbColor rgb="FFFF99CC"/>
      <rgbColor rgb="FFCC99FF"/>
      <rgbColor rgb="FFD9D4CC"/>
      <rgbColor rgb="FF3366FF"/>
      <rgbColor rgb="FF33CCCC"/>
      <rgbColor rgb="FF99CC00"/>
      <rgbColor rgb="FFFFCC00"/>
      <rgbColor rgb="FFFF9900"/>
      <rgbColor rgb="FFFF6600"/>
      <rgbColor rgb="FF666666"/>
      <rgbColor rgb="FF6B7A7C"/>
      <rgbColor rgb="FF003366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Amount due by day of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Calendar!B2</c:f>
              <c:strCache>
                <c:ptCount val="1"/>
                <c:pt idx="0">
                  <c:v>Amount due</c:v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Calendar!$A$3:$A$33</c:f>
              <c:strCache>
                <c:ptCount val="31"/>
                <c:pt idx="0">
                  <c:v/>
                </c:pt>
                <c:pt idx="1">
                  <c:v>Day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</c:strCache>
            </c:strRef>
          </c:cat>
          <c:val>
            <c:numRef>
              <c:f>Calendar!$B$3:$B$33</c:f>
              <c:numCache>
                <c:formatCode>\$#,##0;"($"#,##0\);\-</c:formatCode>
                <c:ptCount val="31"/>
                <c:pt idx="2">
                  <c:v>1850</c:v>
                </c:pt>
                <c:pt idx="3">
                  <c:v>0</c:v>
                </c:pt>
                <c:pt idx="4">
                  <c:v>45</c:v>
                </c:pt>
                <c:pt idx="5">
                  <c:v>0</c:v>
                </c:pt>
                <c:pt idx="6">
                  <c:v>310</c:v>
                </c:pt>
                <c:pt idx="7">
                  <c:v>0</c:v>
                </c:pt>
                <c:pt idx="8">
                  <c:v>0</c:v>
                </c:pt>
                <c:pt idx="9">
                  <c:v>145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140</c:v>
                </c:pt>
                <c:pt idx="14">
                  <c:v>0</c:v>
                </c:pt>
                <c:pt idx="15">
                  <c:v>0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80</c:v>
                </c:pt>
                <c:pt idx="20">
                  <c:v>0</c:v>
                </c:pt>
                <c:pt idx="21">
                  <c:v>95</c:v>
                </c:pt>
                <c:pt idx="22">
                  <c:v>0</c:v>
                </c:pt>
                <c:pt idx="23">
                  <c:v>32</c:v>
                </c:pt>
                <c:pt idx="24">
                  <c:v>0</c:v>
                </c:pt>
                <c:pt idx="25">
                  <c:v>0</c:v>
                </c:pt>
                <c:pt idx="26">
                  <c:v>155</c:v>
                </c:pt>
                <c:pt idx="27">
                  <c:v>0</c:v>
                </c:pt>
                <c:pt idx="28">
                  <c:v>0</c:v>
                </c:pt>
                <c:pt idx="29">
                  <c:v>210</c:v>
                </c:pt>
                <c:pt idx="30">
                  <c:v>0</c:v>
                </c:pt>
              </c:numCache>
            </c:numRef>
          </c:val>
        </c:ser>
        <c:gapWidth val="150"/>
        <c:overlap val="0"/>
        <c:axId val="273348"/>
        <c:axId val="52769528"/>
      </c:barChart>
      <c:catAx>
        <c:axId val="273348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69528"/>
        <c:crosses val="autoZero"/>
        <c:auto val="1"/>
        <c:lblAlgn val="ctr"/>
        <c:lblOffset val="100"/>
        <c:noMultiLvlLbl val="0"/>
      </c:catAx>
      <c:valAx>
        <c:axId val="52769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3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70560</xdr:rowOff>
    </xdr:from>
    <xdr:to>
      <xdr:col>6</xdr:col>
      <xdr:colOff>701280</xdr:colOff>
      <xdr:row>30</xdr:row>
      <xdr:rowOff>92520</xdr:rowOff>
    </xdr:to>
    <xdr:graphicFrame>
      <xdr:nvGraphicFramePr>
        <xdr:cNvPr id="0" name="Chart 1"/>
        <xdr:cNvGraphicFramePr/>
      </xdr:nvGraphicFramePr>
      <xdr:xfrm>
        <a:off x="266760" y="31622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12</v>
      </c>
    </row>
    <row r="3" customFormat="false" ht="15" hidden="false" customHeight="false" outlineLevel="0" collapsed="false">
      <c r="B3" s="6" t="s">
        <v>13</v>
      </c>
    </row>
    <row r="5" customFormat="false" ht="15.75" hidden="false" customHeight="true" outlineLevel="0" collapsed="false">
      <c r="B5" s="7" t="s">
        <v>14</v>
      </c>
      <c r="C5" s="7"/>
      <c r="D5" s="7"/>
      <c r="E5" s="7" t="s">
        <v>15</v>
      </c>
      <c r="F5" s="7"/>
      <c r="G5" s="7"/>
      <c r="H5" s="7" t="s">
        <v>16</v>
      </c>
      <c r="I5" s="7"/>
      <c r="J5" s="7"/>
      <c r="K5" s="7" t="s">
        <v>17</v>
      </c>
      <c r="L5" s="7"/>
      <c r="M5" s="7"/>
    </row>
    <row r="6" customFormat="false" ht="21.75" hidden="false" customHeight="true" outlineLevel="0" collapsed="false">
      <c r="B6" s="8" t="n">
        <f aca="false">Bills!B34</f>
        <v>3127</v>
      </c>
      <c r="C6" s="8"/>
      <c r="D6" s="8"/>
      <c r="E6" s="8" t="n">
        <f aca="false">Bills!B35</f>
        <v>2555</v>
      </c>
      <c r="F6" s="8"/>
      <c r="G6" s="8"/>
      <c r="H6" s="9" t="n">
        <f aca="false">Bills!B36</f>
        <v>572</v>
      </c>
      <c r="I6" s="9"/>
      <c r="J6" s="9"/>
      <c r="K6" s="8" t="n">
        <f aca="false">Bills!B37</f>
        <v>362</v>
      </c>
      <c r="L6" s="8"/>
      <c r="M6" s="8"/>
    </row>
    <row r="7" customFormat="false" ht="12" hidden="false" customHeight="true" outlineLevel="0" collapsed="false">
      <c r="B7" s="8"/>
      <c r="C7" s="8"/>
      <c r="D7" s="8"/>
      <c r="E7" s="8"/>
      <c r="F7" s="8"/>
      <c r="G7" s="8"/>
      <c r="H7" s="9"/>
      <c r="I7" s="9"/>
      <c r="J7" s="9"/>
      <c r="K7" s="8"/>
      <c r="L7" s="8"/>
      <c r="M7" s="8"/>
    </row>
    <row r="9" customFormat="false" ht="15.75" hidden="false" customHeight="true" outlineLevel="0" collapsed="false">
      <c r="B9" s="7" t="s">
        <v>18</v>
      </c>
      <c r="C9" s="7"/>
      <c r="D9" s="7"/>
      <c r="E9" s="7" t="s">
        <v>19</v>
      </c>
      <c r="F9" s="7"/>
      <c r="G9" s="7"/>
    </row>
    <row r="10" customFormat="false" ht="21.75" hidden="false" customHeight="true" outlineLevel="0" collapsed="false">
      <c r="B10" s="10" t="n">
        <f aca="false">Bills!B38</f>
        <v>0</v>
      </c>
      <c r="C10" s="10"/>
      <c r="D10" s="10"/>
      <c r="E10" s="11" t="n">
        <f aca="false">IF(Bills!B34=0,0,Bills!B35/Bills!B34)</f>
        <v>0.817077070674768</v>
      </c>
      <c r="F10" s="11"/>
      <c r="G10" s="11"/>
    </row>
    <row r="11" customFormat="false" ht="12" hidden="false" customHeight="true" outlineLevel="0" collapsed="false">
      <c r="B11" s="10"/>
      <c r="C11" s="10"/>
      <c r="D11" s="10"/>
      <c r="E11" s="11"/>
      <c r="F11" s="11"/>
      <c r="G11" s="11"/>
    </row>
    <row r="13" customFormat="false" ht="15" hidden="false" customHeight="false" outlineLevel="0" collapsed="false">
      <c r="B13" s="12" t="s">
        <v>20</v>
      </c>
    </row>
    <row r="14" customFormat="false" ht="15" hidden="false" customHeight="false" outlineLevel="0" collapsed="false">
      <c r="B14" s="13" t="str">
        <f aca="false">REPT("█",ROUND(MIN(1,MAX(0,IF(Bills!B34=0,0,Bills!B35/Bills!B34)))*40,0))&amp;REPT("░",40-ROUND(MIN(1,MAX(0,IF(Bills!B34=0,0,Bills!B35/Bills!B34)))*40,0))&amp;"  "&amp;TEXT(IF(Bills!B34=0,0,Bills!B35/Bills!B34),"0%")</f>
        <v>█████████████████████████████████░░░░░░░  82%</v>
      </c>
    </row>
  </sheetData>
  <mergeCells count="12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B10:D11"/>
    <mergeCell ref="E10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  <c r="B2" s="14" t="s">
        <v>23</v>
      </c>
    </row>
    <row r="4" customFormat="false" ht="30" hidden="false" customHeight="true" outlineLevel="0" collapsed="false">
      <c r="A4" s="15" t="s">
        <v>24</v>
      </c>
      <c r="B4" s="15" t="s">
        <v>23</v>
      </c>
      <c r="C4" s="15" t="s">
        <v>25</v>
      </c>
    </row>
    <row r="5" customFormat="false" ht="15" hidden="false" customHeight="false" outlineLevel="0" collapsed="false">
      <c r="A5" s="16" t="n">
        <v>1</v>
      </c>
      <c r="B5" s="17" t="n">
        <f aca="false">SUMIF(Bills!$C$8:$C$33,A5,Bills!$B$8:$B$33)</f>
        <v>1850</v>
      </c>
      <c r="C5" s="18" t="str">
        <f aca="false">IF(B5=0,"",IFERROR(INDEX(Bills!$A$8:$A$33,MATCH(A5,Bills!$C$8:$C$33,0)),"")&amp;IF(COUNTIF(Bills!$C$8:$C$33,A5)&gt;1," +"&amp;(COUNTIF(Bills!$C$8:$C$33,A5)-1)&amp;" more",""))</f>
        <v>Rent</v>
      </c>
    </row>
    <row r="6" customFormat="false" ht="15" hidden="false" customHeight="false" outlineLevel="0" collapsed="false">
      <c r="A6" s="16" t="n">
        <v>2</v>
      </c>
      <c r="B6" s="17" t="n">
        <f aca="false">SUMIF(Bills!$C$8:$C$33,A6,Bills!$B$8:$B$33)</f>
        <v>0</v>
      </c>
      <c r="C6" s="18" t="str">
        <f aca="false">IF(B6=0,"",IFERROR(INDEX(Bills!$A$8:$A$33,MATCH(A6,Bills!$C$8:$C$33,0)),"")&amp;IF(COUNTIF(Bills!$C$8:$C$33,A6)&gt;1," +"&amp;(COUNTIF(Bills!$C$8:$C$33,A6)-1)&amp;" more",""))</f>
        <v/>
      </c>
    </row>
    <row r="7" customFormat="false" ht="15" hidden="false" customHeight="false" outlineLevel="0" collapsed="false">
      <c r="A7" s="16" t="n">
        <v>3</v>
      </c>
      <c r="B7" s="17" t="n">
        <f aca="false">SUMIF(Bills!$C$8:$C$33,A7,Bills!$B$8:$B$33)</f>
        <v>45</v>
      </c>
      <c r="C7" s="18" t="str">
        <f aca="false">IF(B7=0,"",IFERROR(INDEX(Bills!$A$8:$A$33,MATCH(A7,Bills!$C$8:$C$33,0)),"")&amp;IF(COUNTIF(Bills!$C$8:$C$33,A7)&gt;1," +"&amp;(COUNTIF(Bills!$C$8:$C$33,A7)-1)&amp;" more",""))</f>
        <v>Gym</v>
      </c>
    </row>
    <row r="8" customFormat="false" ht="15" hidden="false" customHeight="false" outlineLevel="0" collapsed="false">
      <c r="A8" s="16" t="n">
        <v>4</v>
      </c>
      <c r="B8" s="17" t="n">
        <f aca="false">SUMIF(Bills!$C$8:$C$33,A8,Bills!$B$8:$B$33)</f>
        <v>0</v>
      </c>
      <c r="C8" s="18" t="str">
        <f aca="false">IF(B8=0,"",IFERROR(INDEX(Bills!$A$8:$A$33,MATCH(A8,Bills!$C$8:$C$33,0)),"")&amp;IF(COUNTIF(Bills!$C$8:$C$33,A8)&gt;1," +"&amp;(COUNTIF(Bills!$C$8:$C$33,A8)-1)&amp;" more",""))</f>
        <v/>
      </c>
    </row>
    <row r="9" customFormat="false" ht="15" hidden="false" customHeight="false" outlineLevel="0" collapsed="false">
      <c r="A9" s="16" t="n">
        <v>5</v>
      </c>
      <c r="B9" s="17" t="n">
        <f aca="false">SUMIF(Bills!$C$8:$C$33,A9,Bills!$B$8:$B$33)</f>
        <v>310</v>
      </c>
      <c r="C9" s="18" t="str">
        <f aca="false">IF(B9=0,"",IFERROR(INDEX(Bills!$A$8:$A$33,MATCH(A9,Bills!$C$8:$C$33,0)),"")&amp;IF(COUNTIF(Bills!$C$8:$C$33,A9)&gt;1," +"&amp;(COUNTIF(Bills!$C$8:$C$33,A9)-1)&amp;" more",""))</f>
        <v>Car payment</v>
      </c>
    </row>
    <row r="10" customFormat="false" ht="15" hidden="false" customHeight="false" outlineLevel="0" collapsed="false">
      <c r="A10" s="16" t="n">
        <v>6</v>
      </c>
      <c r="B10" s="17" t="n">
        <f aca="false">SUMIF(Bills!$C$8:$C$33,A10,Bills!$B$8:$B$33)</f>
        <v>0</v>
      </c>
      <c r="C10" s="18" t="str">
        <f aca="false">IF(B10=0,"",IFERROR(INDEX(Bills!$A$8:$A$33,MATCH(A10,Bills!$C$8:$C$33,0)),"")&amp;IF(COUNTIF(Bills!$C$8:$C$33,A10)&gt;1," +"&amp;(COUNTIF(Bills!$C$8:$C$33,A10)-1)&amp;" more",""))</f>
        <v/>
      </c>
    </row>
    <row r="11" customFormat="false" ht="15" hidden="false" customHeight="false" outlineLevel="0" collapsed="false">
      <c r="A11" s="16" t="n">
        <v>7</v>
      </c>
      <c r="B11" s="17" t="n">
        <f aca="false">SUMIF(Bills!$C$8:$C$33,A11,Bills!$B$8:$B$33)</f>
        <v>0</v>
      </c>
      <c r="C11" s="18" t="str">
        <f aca="false">IF(B11=0,"",IFERROR(INDEX(Bills!$A$8:$A$33,MATCH(A11,Bills!$C$8:$C$33,0)),"")&amp;IF(COUNTIF(Bills!$C$8:$C$33,A11)&gt;1," +"&amp;(COUNTIF(Bills!$C$8:$C$33,A11)-1)&amp;" more",""))</f>
        <v/>
      </c>
    </row>
    <row r="12" customFormat="false" ht="15" hidden="false" customHeight="false" outlineLevel="0" collapsed="false">
      <c r="A12" s="16" t="n">
        <v>8</v>
      </c>
      <c r="B12" s="17" t="n">
        <f aca="false">SUMIF(Bills!$C$8:$C$33,A12,Bills!$B$8:$B$33)</f>
        <v>145</v>
      </c>
      <c r="C12" s="18" t="str">
        <f aca="false">IF(B12=0,"",IFERROR(INDEX(Bills!$A$8:$A$33,MATCH(A12,Bills!$C$8:$C$33,0)),"")&amp;IF(COUNTIF(Bills!$C$8:$C$33,A12)&gt;1," +"&amp;(COUNTIF(Bills!$C$8:$C$33,A12)-1)&amp;" more",""))</f>
        <v>Car insurance</v>
      </c>
    </row>
    <row r="13" customFormat="false" ht="15" hidden="false" customHeight="false" outlineLevel="0" collapsed="false">
      <c r="A13" s="16" t="n">
        <v>9</v>
      </c>
      <c r="B13" s="17" t="n">
        <f aca="false">SUMIF(Bills!$C$8:$C$33,A13,Bills!$B$8:$B$33)</f>
        <v>0</v>
      </c>
      <c r="C13" s="18" t="str">
        <f aca="false">IF(B13=0,"",IFERROR(INDEX(Bills!$A$8:$A$33,MATCH(A13,Bills!$C$8:$C$33,0)),"")&amp;IF(COUNTIF(Bills!$C$8:$C$33,A13)&gt;1," +"&amp;(COUNTIF(Bills!$C$8:$C$33,A13)-1)&amp;" more",""))</f>
        <v/>
      </c>
    </row>
    <row r="14" customFormat="false" ht="15" hidden="false" customHeight="false" outlineLevel="0" collapsed="false">
      <c r="A14" s="16" t="n">
        <v>10</v>
      </c>
      <c r="B14" s="17" t="n">
        <f aca="false">SUMIF(Bills!$C$8:$C$33,A14,Bills!$B$8:$B$33)</f>
        <v>0</v>
      </c>
      <c r="C14" s="18" t="str">
        <f aca="false">IF(B14=0,"",IFERROR(INDEX(Bills!$A$8:$A$33,MATCH(A14,Bills!$C$8:$C$33,0)),"")&amp;IF(COUNTIF(Bills!$C$8:$C$33,A14)&gt;1," +"&amp;(COUNTIF(Bills!$C$8:$C$33,A14)-1)&amp;" more",""))</f>
        <v/>
      </c>
    </row>
    <row r="15" customFormat="false" ht="15" hidden="false" customHeight="false" outlineLevel="0" collapsed="false">
      <c r="A15" s="16" t="n">
        <v>11</v>
      </c>
      <c r="B15" s="17" t="n">
        <f aca="false">SUMIF(Bills!$C$8:$C$33,A15,Bills!$B$8:$B$33)</f>
        <v>0</v>
      </c>
      <c r="C15" s="18" t="str">
        <f aca="false">IF(B15=0,"",IFERROR(INDEX(Bills!$A$8:$A$33,MATCH(A15,Bills!$C$8:$C$33,0)),"")&amp;IF(COUNTIF(Bills!$C$8:$C$33,A15)&gt;1," +"&amp;(COUNTIF(Bills!$C$8:$C$33,A15)-1)&amp;" more",""))</f>
        <v/>
      </c>
    </row>
    <row r="16" customFormat="false" ht="15" hidden="false" customHeight="false" outlineLevel="0" collapsed="false">
      <c r="A16" s="16" t="n">
        <v>12</v>
      </c>
      <c r="B16" s="17" t="n">
        <f aca="false">SUMIF(Bills!$C$8:$C$33,A16,Bills!$B$8:$B$33)</f>
        <v>140</v>
      </c>
      <c r="C16" s="18" t="str">
        <f aca="false">IF(B16=0,"",IFERROR(INDEX(Bills!$A$8:$A$33,MATCH(A16,Bills!$C$8:$C$33,0)),"")&amp;IF(COUNTIF(Bills!$C$8:$C$33,A16)&gt;1," +"&amp;(COUNTIF(Bills!$C$8:$C$33,A16)-1)&amp;" more",""))</f>
        <v>Electric</v>
      </c>
    </row>
    <row r="17" customFormat="false" ht="15" hidden="false" customHeight="false" outlineLevel="0" collapsed="false">
      <c r="A17" s="16" t="n">
        <v>13</v>
      </c>
      <c r="B17" s="17" t="n">
        <f aca="false">SUMIF(Bills!$C$8:$C$33,A17,Bills!$B$8:$B$33)</f>
        <v>0</v>
      </c>
      <c r="C17" s="18" t="str">
        <f aca="false">IF(B17=0,"",IFERROR(INDEX(Bills!$A$8:$A$33,MATCH(A17,Bills!$C$8:$C$33,0)),"")&amp;IF(COUNTIF(Bills!$C$8:$C$33,A17)&gt;1," +"&amp;(COUNTIF(Bills!$C$8:$C$33,A17)-1)&amp;" more",""))</f>
        <v/>
      </c>
    </row>
    <row r="18" customFormat="false" ht="15" hidden="false" customHeight="false" outlineLevel="0" collapsed="false">
      <c r="A18" s="16" t="n">
        <v>14</v>
      </c>
      <c r="B18" s="17" t="n">
        <f aca="false">SUMIF(Bills!$C$8:$C$33,A18,Bills!$B$8:$B$33)</f>
        <v>0</v>
      </c>
      <c r="C18" s="18" t="str">
        <f aca="false">IF(B18=0,"",IFERROR(INDEX(Bills!$A$8:$A$33,MATCH(A18,Bills!$C$8:$C$33,0)),"")&amp;IF(COUNTIF(Bills!$C$8:$C$33,A18)&gt;1," +"&amp;(COUNTIF(Bills!$C$8:$C$33,A18)-1)&amp;" more",""))</f>
        <v/>
      </c>
    </row>
    <row r="19" customFormat="false" ht="15" hidden="false" customHeight="false" outlineLevel="0" collapsed="false">
      <c r="A19" s="16" t="n">
        <v>15</v>
      </c>
      <c r="B19" s="17" t="n">
        <f aca="false">SUMIF(Bills!$C$8:$C$33,A19,Bills!$B$8:$B$33)</f>
        <v>65</v>
      </c>
      <c r="C19" s="18" t="str">
        <f aca="false">IF(B19=0,"",IFERROR(INDEX(Bills!$A$8:$A$33,MATCH(A19,Bills!$C$8:$C$33,0)),"")&amp;IF(COUNTIF(Bills!$C$8:$C$33,A19)&gt;1," +"&amp;(COUNTIF(Bills!$C$8:$C$33,A19)-1)&amp;" more",""))</f>
        <v>Water/trash</v>
      </c>
    </row>
    <row r="20" customFormat="false" ht="15" hidden="false" customHeight="false" outlineLevel="0" collapsed="false">
      <c r="A20" s="16" t="n">
        <v>16</v>
      </c>
      <c r="B20" s="17" t="n">
        <f aca="false">SUMIF(Bills!$C$8:$C$33,A20,Bills!$B$8:$B$33)</f>
        <v>0</v>
      </c>
      <c r="C20" s="18" t="str">
        <f aca="false">IF(B20=0,"",IFERROR(INDEX(Bills!$A$8:$A$33,MATCH(A20,Bills!$C$8:$C$33,0)),"")&amp;IF(COUNTIF(Bills!$C$8:$C$33,A20)&gt;1," +"&amp;(COUNTIF(Bills!$C$8:$C$33,A20)-1)&amp;" more",""))</f>
        <v/>
      </c>
    </row>
    <row r="21" customFormat="false" ht="15" hidden="false" customHeight="false" outlineLevel="0" collapsed="false">
      <c r="A21" s="16" t="n">
        <v>17</v>
      </c>
      <c r="B21" s="17" t="n">
        <f aca="false">SUMIF(Bills!$C$8:$C$33,A21,Bills!$B$8:$B$33)</f>
        <v>0</v>
      </c>
      <c r="C21" s="18" t="str">
        <f aca="false">IF(B21=0,"",IFERROR(INDEX(Bills!$A$8:$A$33,MATCH(A21,Bills!$C$8:$C$33,0)),"")&amp;IF(COUNTIF(Bills!$C$8:$C$33,A21)&gt;1," +"&amp;(COUNTIF(Bills!$C$8:$C$33,A21)-1)&amp;" more",""))</f>
        <v/>
      </c>
    </row>
    <row r="22" customFormat="false" ht="15" hidden="false" customHeight="false" outlineLevel="0" collapsed="false">
      <c r="A22" s="16" t="n">
        <v>18</v>
      </c>
      <c r="B22" s="17" t="n">
        <f aca="false">SUMIF(Bills!$C$8:$C$33,A22,Bills!$B$8:$B$33)</f>
        <v>80</v>
      </c>
      <c r="C22" s="18" t="str">
        <f aca="false">IF(B22=0,"",IFERROR(INDEX(Bills!$A$8:$A$33,MATCH(A22,Bills!$C$8:$C$33,0)),"")&amp;IF(COUNTIF(Bills!$C$8:$C$33,A22)&gt;1," +"&amp;(COUNTIF(Bills!$C$8:$C$33,A22)-1)&amp;" more",""))</f>
        <v>Internet</v>
      </c>
    </row>
    <row r="23" customFormat="false" ht="15" hidden="false" customHeight="false" outlineLevel="0" collapsed="false">
      <c r="A23" s="16" t="n">
        <v>19</v>
      </c>
      <c r="B23" s="17" t="n">
        <f aca="false">SUMIF(Bills!$C$8:$C$33,A23,Bills!$B$8:$B$33)</f>
        <v>0</v>
      </c>
      <c r="C23" s="18" t="str">
        <f aca="false">IF(B23=0,"",IFERROR(INDEX(Bills!$A$8:$A$33,MATCH(A23,Bills!$C$8:$C$33,0)),"")&amp;IF(COUNTIF(Bills!$C$8:$C$33,A23)&gt;1," +"&amp;(COUNTIF(Bills!$C$8:$C$33,A23)-1)&amp;" more",""))</f>
        <v/>
      </c>
    </row>
    <row r="24" customFormat="false" ht="15" hidden="false" customHeight="false" outlineLevel="0" collapsed="false">
      <c r="A24" s="16" t="n">
        <v>20</v>
      </c>
      <c r="B24" s="17" t="n">
        <f aca="false">SUMIF(Bills!$C$8:$C$33,A24,Bills!$B$8:$B$33)</f>
        <v>95</v>
      </c>
      <c r="C24" s="18" t="str">
        <f aca="false">IF(B24=0,"",IFERROR(INDEX(Bills!$A$8:$A$33,MATCH(A24,Bills!$C$8:$C$33,0)),"")&amp;IF(COUNTIF(Bills!$C$8:$C$33,A24)&gt;1," +"&amp;(COUNTIF(Bills!$C$8:$C$33,A24)-1)&amp;" more",""))</f>
        <v>Phone</v>
      </c>
    </row>
    <row r="25" customFormat="false" ht="15" hidden="false" customHeight="false" outlineLevel="0" collapsed="false">
      <c r="A25" s="16" t="n">
        <v>21</v>
      </c>
      <c r="B25" s="17" t="n">
        <f aca="false">SUMIF(Bills!$C$8:$C$33,A25,Bills!$B$8:$B$33)</f>
        <v>0</v>
      </c>
      <c r="C25" s="18" t="str">
        <f aca="false">IF(B25=0,"",IFERROR(INDEX(Bills!$A$8:$A$33,MATCH(A25,Bills!$C$8:$C$33,0)),"")&amp;IF(COUNTIF(Bills!$C$8:$C$33,A25)&gt;1," +"&amp;(COUNTIF(Bills!$C$8:$C$33,A25)-1)&amp;" more",""))</f>
        <v/>
      </c>
    </row>
    <row r="26" customFormat="false" ht="15" hidden="false" customHeight="false" outlineLevel="0" collapsed="false">
      <c r="A26" s="16" t="n">
        <v>22</v>
      </c>
      <c r="B26" s="17" t="n">
        <f aca="false">SUMIF(Bills!$C$8:$C$33,A26,Bills!$B$8:$B$33)</f>
        <v>32</v>
      </c>
      <c r="C26" s="18" t="str">
        <f aca="false">IF(B26=0,"",IFERROR(INDEX(Bills!$A$8:$A$33,MATCH(A26,Bills!$C$8:$C$33,0)),"")&amp;IF(COUNTIF(Bills!$C$8:$C$33,A26)&gt;1," +"&amp;(COUNTIF(Bills!$C$8:$C$33,A26)-1)&amp;" more",""))</f>
        <v>Streaming</v>
      </c>
    </row>
    <row r="27" customFormat="false" ht="15" hidden="false" customHeight="false" outlineLevel="0" collapsed="false">
      <c r="A27" s="16" t="n">
        <v>23</v>
      </c>
      <c r="B27" s="17" t="n">
        <f aca="false">SUMIF(Bills!$C$8:$C$33,A27,Bills!$B$8:$B$33)</f>
        <v>0</v>
      </c>
      <c r="C27" s="18" t="str">
        <f aca="false">IF(B27=0,"",IFERROR(INDEX(Bills!$A$8:$A$33,MATCH(A27,Bills!$C$8:$C$33,0)),"")&amp;IF(COUNTIF(Bills!$C$8:$C$33,A27)&gt;1," +"&amp;(COUNTIF(Bills!$C$8:$C$33,A27)-1)&amp;" more",""))</f>
        <v/>
      </c>
    </row>
    <row r="28" customFormat="false" ht="15" hidden="false" customHeight="false" outlineLevel="0" collapsed="false">
      <c r="A28" s="16" t="n">
        <v>24</v>
      </c>
      <c r="B28" s="17" t="n">
        <f aca="false">SUMIF(Bills!$C$8:$C$33,A28,Bills!$B$8:$B$33)</f>
        <v>0</v>
      </c>
      <c r="C28" s="18" t="str">
        <f aca="false">IF(B28=0,"",IFERROR(INDEX(Bills!$A$8:$A$33,MATCH(A28,Bills!$C$8:$C$33,0)),"")&amp;IF(COUNTIF(Bills!$C$8:$C$33,A28)&gt;1," +"&amp;(COUNTIF(Bills!$C$8:$C$33,A28)-1)&amp;" more",""))</f>
        <v/>
      </c>
    </row>
    <row r="29" customFormat="false" ht="15" hidden="false" customHeight="false" outlineLevel="0" collapsed="false">
      <c r="A29" s="16" t="n">
        <v>25</v>
      </c>
      <c r="B29" s="17" t="n">
        <f aca="false">SUMIF(Bills!$C$8:$C$33,A29,Bills!$B$8:$B$33)</f>
        <v>155</v>
      </c>
      <c r="C29" s="18" t="str">
        <f aca="false">IF(B29=0,"",IFERROR(INDEX(Bills!$A$8:$A$33,MATCH(A29,Bills!$C$8:$C$33,0)),"")&amp;IF(COUNTIF(Bills!$C$8:$C$33,A29)&gt;1," +"&amp;(COUNTIF(Bills!$C$8:$C$33,A29)-1)&amp;" more",""))</f>
        <v>Credit card min</v>
      </c>
    </row>
    <row r="30" customFormat="false" ht="15" hidden="false" customHeight="false" outlineLevel="0" collapsed="false">
      <c r="A30" s="16" t="n">
        <v>26</v>
      </c>
      <c r="B30" s="17" t="n">
        <f aca="false">SUMIF(Bills!$C$8:$C$33,A30,Bills!$B$8:$B$33)</f>
        <v>0</v>
      </c>
      <c r="C30" s="18" t="str">
        <f aca="false">IF(B30=0,"",IFERROR(INDEX(Bills!$A$8:$A$33,MATCH(A30,Bills!$C$8:$C$33,0)),"")&amp;IF(COUNTIF(Bills!$C$8:$C$33,A30)&gt;1," +"&amp;(COUNTIF(Bills!$C$8:$C$33,A30)-1)&amp;" more",""))</f>
        <v/>
      </c>
    </row>
    <row r="31" customFormat="false" ht="15" hidden="false" customHeight="false" outlineLevel="0" collapsed="false">
      <c r="A31" s="16" t="n">
        <v>27</v>
      </c>
      <c r="B31" s="17" t="n">
        <f aca="false">SUMIF(Bills!$C$8:$C$33,A31,Bills!$B$8:$B$33)</f>
        <v>0</v>
      </c>
      <c r="C31" s="18" t="str">
        <f aca="false">IF(B31=0,"",IFERROR(INDEX(Bills!$A$8:$A$33,MATCH(A31,Bills!$C$8:$C$33,0)),"")&amp;IF(COUNTIF(Bills!$C$8:$C$33,A31)&gt;1," +"&amp;(COUNTIF(Bills!$C$8:$C$33,A31)-1)&amp;" more",""))</f>
        <v/>
      </c>
    </row>
    <row r="32" customFormat="false" ht="15" hidden="false" customHeight="false" outlineLevel="0" collapsed="false">
      <c r="A32" s="16" t="n">
        <v>28</v>
      </c>
      <c r="B32" s="17" t="n">
        <f aca="false">SUMIF(Bills!$C$8:$C$33,A32,Bills!$B$8:$B$33)</f>
        <v>210</v>
      </c>
      <c r="C32" s="18" t="str">
        <f aca="false">IF(B32=0,"",IFERROR(INDEX(Bills!$A$8:$A$33,MATCH(A32,Bills!$C$8:$C$33,0)),"")&amp;IF(COUNTIF(Bills!$C$8:$C$33,A32)&gt;1," +"&amp;(COUNTIF(Bills!$C$8:$C$33,A32)-1)&amp;" more",""))</f>
        <v>Student loan</v>
      </c>
    </row>
    <row r="33" customFormat="false" ht="15" hidden="false" customHeight="false" outlineLevel="0" collapsed="false">
      <c r="A33" s="16" t="n">
        <v>29</v>
      </c>
      <c r="B33" s="17" t="n">
        <f aca="false">SUMIF(Bills!$C$8:$C$33,A33,Bills!$B$8:$B$33)</f>
        <v>0</v>
      </c>
      <c r="C33" s="18" t="str">
        <f aca="false">IF(B33=0,"",IFERROR(INDEX(Bills!$A$8:$A$33,MATCH(A33,Bills!$C$8:$C$33,0)),"")&amp;IF(COUNTIF(Bills!$C$8:$C$33,A33)&gt;1," +"&amp;(COUNTIF(Bills!$C$8:$C$33,A33)-1)&amp;" more",""))</f>
        <v/>
      </c>
    </row>
    <row r="34" customFormat="false" ht="15" hidden="false" customHeight="false" outlineLevel="0" collapsed="false">
      <c r="A34" s="16" t="n">
        <v>30</v>
      </c>
      <c r="B34" s="17" t="n">
        <f aca="false">SUMIF(Bills!$C$8:$C$33,A34,Bills!$B$8:$B$33)</f>
        <v>0</v>
      </c>
      <c r="C34" s="18" t="str">
        <f aca="false">IF(B34=0,"",IFERROR(INDEX(Bills!$A$8:$A$33,MATCH(A34,Bills!$C$8:$C$33,0)),"")&amp;IF(COUNTIF(Bills!$C$8:$C$33,A34)&gt;1," +"&amp;(COUNTIF(Bills!$C$8:$C$33,A34)-1)&amp;" more",""))</f>
        <v/>
      </c>
    </row>
    <row r="35" customFormat="false" ht="15" hidden="false" customHeight="false" outlineLevel="0" collapsed="false">
      <c r="A35" s="16" t="n">
        <v>31</v>
      </c>
      <c r="B35" s="17" t="n">
        <f aca="false">SUMIF(Bills!$C$8:$C$33,A35,Bills!$B$8:$B$33)</f>
        <v>0</v>
      </c>
      <c r="C35" s="18" t="str">
        <f aca="false">IF(B35=0,"",IFERROR(INDEX(Bills!$A$8:$A$33,MATCH(A35,Bills!$C$8:$C$33,0)),"")&amp;IF(COUNTIF(Bills!$C$8:$C$33,A35)&gt;1," +"&amp;(COUNTIF(Bills!$C$8:$C$33,A35)-1)&amp;" more",""))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17" min="6" style="0" width="7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26</v>
      </c>
    </row>
    <row r="4" customFormat="false" ht="15" hidden="false" customHeight="false" outlineLevel="0" collapsed="false">
      <c r="A4" s="19" t="s">
        <v>27</v>
      </c>
      <c r="B4" s="20" t="n">
        <v>9</v>
      </c>
    </row>
    <row r="5" customFormat="false" ht="15" hidden="false" customHeight="false" outlineLevel="0" collapsed="false">
      <c r="A5" s="19" t="s">
        <v>28</v>
      </c>
      <c r="B5" s="21" t="n">
        <f aca="true">DAY(TODAY())</f>
        <v>18</v>
      </c>
    </row>
    <row r="7" customFormat="false" ht="30" hidden="false" customHeight="true" outlineLevel="0" collapsed="false">
      <c r="A7" s="15" t="s">
        <v>29</v>
      </c>
      <c r="B7" s="15" t="s">
        <v>30</v>
      </c>
      <c r="C7" s="15" t="s">
        <v>31</v>
      </c>
      <c r="D7" s="15" t="s">
        <v>32</v>
      </c>
      <c r="E7" s="15" t="s">
        <v>33</v>
      </c>
      <c r="F7" s="15" t="s">
        <v>34</v>
      </c>
      <c r="G7" s="15" t="s">
        <v>35</v>
      </c>
      <c r="H7" s="15" t="s">
        <v>36</v>
      </c>
      <c r="I7" s="15" t="s">
        <v>37</v>
      </c>
      <c r="J7" s="15" t="s">
        <v>38</v>
      </c>
      <c r="K7" s="15" t="s">
        <v>39</v>
      </c>
      <c r="L7" s="15" t="s">
        <v>40</v>
      </c>
      <c r="M7" s="15" t="s">
        <v>41</v>
      </c>
      <c r="N7" s="15" t="s">
        <v>42</v>
      </c>
      <c r="O7" s="15" t="s">
        <v>43</v>
      </c>
      <c r="P7" s="15" t="s">
        <v>44</v>
      </c>
      <c r="Q7" s="15" t="s">
        <v>45</v>
      </c>
    </row>
    <row r="8" customFormat="false" ht="15" hidden="false" customHeight="false" outlineLevel="0" collapsed="false">
      <c r="A8" s="22" t="s">
        <v>46</v>
      </c>
      <c r="B8" s="23" t="n">
        <v>1850</v>
      </c>
      <c r="C8" s="16" t="n">
        <v>1</v>
      </c>
      <c r="D8" s="22" t="s">
        <v>47</v>
      </c>
      <c r="E8" s="22" t="s">
        <v>48</v>
      </c>
      <c r="F8" s="22" t="s">
        <v>49</v>
      </c>
      <c r="G8" s="22" t="s">
        <v>49</v>
      </c>
      <c r="H8" s="22" t="s">
        <v>49</v>
      </c>
      <c r="I8" s="22" t="s">
        <v>49</v>
      </c>
      <c r="J8" s="22" t="s">
        <v>49</v>
      </c>
      <c r="K8" s="22" t="s">
        <v>49</v>
      </c>
      <c r="L8" s="22" t="s">
        <v>49</v>
      </c>
      <c r="M8" s="22" t="s">
        <v>49</v>
      </c>
      <c r="N8" s="22" t="s">
        <v>49</v>
      </c>
      <c r="O8" s="22"/>
      <c r="P8" s="22"/>
      <c r="Q8" s="22"/>
    </row>
    <row r="9" customFormat="false" ht="15" hidden="false" customHeight="false" outlineLevel="0" collapsed="false">
      <c r="A9" s="22" t="s">
        <v>50</v>
      </c>
      <c r="B9" s="23" t="n">
        <v>140</v>
      </c>
      <c r="C9" s="16" t="n">
        <v>12</v>
      </c>
      <c r="D9" s="22" t="s">
        <v>49</v>
      </c>
      <c r="E9" s="22" t="s">
        <v>51</v>
      </c>
      <c r="F9" s="22" t="s">
        <v>49</v>
      </c>
      <c r="G9" s="22" t="s">
        <v>49</v>
      </c>
      <c r="H9" s="22" t="s">
        <v>49</v>
      </c>
      <c r="I9" s="22" t="s">
        <v>49</v>
      </c>
      <c r="J9" s="22" t="s">
        <v>49</v>
      </c>
      <c r="K9" s="22" t="s">
        <v>49</v>
      </c>
      <c r="L9" s="22" t="s">
        <v>49</v>
      </c>
      <c r="M9" s="22" t="s">
        <v>49</v>
      </c>
      <c r="N9" s="22" t="s">
        <v>49</v>
      </c>
      <c r="O9" s="22"/>
      <c r="P9" s="22"/>
      <c r="Q9" s="22"/>
    </row>
    <row r="10" customFormat="false" ht="15" hidden="false" customHeight="false" outlineLevel="0" collapsed="false">
      <c r="A10" s="22" t="s">
        <v>52</v>
      </c>
      <c r="B10" s="23" t="n">
        <v>65</v>
      </c>
      <c r="C10" s="16" t="n">
        <v>15</v>
      </c>
      <c r="D10" s="22" t="s">
        <v>49</v>
      </c>
      <c r="E10" s="22" t="s">
        <v>48</v>
      </c>
      <c r="F10" s="22" t="s">
        <v>49</v>
      </c>
      <c r="G10" s="22" t="s">
        <v>49</v>
      </c>
      <c r="H10" s="22" t="s">
        <v>49</v>
      </c>
      <c r="I10" s="22" t="s">
        <v>49</v>
      </c>
      <c r="J10" s="22" t="s">
        <v>49</v>
      </c>
      <c r="K10" s="22" t="s">
        <v>49</v>
      </c>
      <c r="L10" s="22" t="s">
        <v>49</v>
      </c>
      <c r="M10" s="22" t="s">
        <v>49</v>
      </c>
      <c r="N10" s="22" t="s">
        <v>49</v>
      </c>
      <c r="O10" s="22"/>
      <c r="P10" s="22"/>
      <c r="Q10" s="22"/>
    </row>
    <row r="11" customFormat="false" ht="15" hidden="false" customHeight="false" outlineLevel="0" collapsed="false">
      <c r="A11" s="22" t="s">
        <v>53</v>
      </c>
      <c r="B11" s="23" t="n">
        <v>80</v>
      </c>
      <c r="C11" s="16" t="n">
        <v>18</v>
      </c>
      <c r="D11" s="22" t="s">
        <v>49</v>
      </c>
      <c r="E11" s="22" t="s">
        <v>51</v>
      </c>
      <c r="F11" s="22" t="s">
        <v>49</v>
      </c>
      <c r="G11" s="22" t="s">
        <v>49</v>
      </c>
      <c r="H11" s="22" t="s">
        <v>49</v>
      </c>
      <c r="I11" s="22" t="s">
        <v>49</v>
      </c>
      <c r="J11" s="22" t="s">
        <v>49</v>
      </c>
      <c r="K11" s="22" t="s">
        <v>49</v>
      </c>
      <c r="L11" s="22" t="s">
        <v>49</v>
      </c>
      <c r="M11" s="22" t="s">
        <v>49</v>
      </c>
      <c r="N11" s="22"/>
      <c r="O11" s="22"/>
      <c r="P11" s="22"/>
      <c r="Q11" s="22"/>
    </row>
    <row r="12" customFormat="false" ht="15" hidden="false" customHeight="false" outlineLevel="0" collapsed="false">
      <c r="A12" s="22" t="s">
        <v>54</v>
      </c>
      <c r="B12" s="23" t="n">
        <v>95</v>
      </c>
      <c r="C12" s="16" t="n">
        <v>20</v>
      </c>
      <c r="D12" s="22" t="s">
        <v>49</v>
      </c>
      <c r="E12" s="22" t="s">
        <v>51</v>
      </c>
      <c r="F12" s="22" t="s">
        <v>49</v>
      </c>
      <c r="G12" s="22" t="s">
        <v>49</v>
      </c>
      <c r="H12" s="22" t="s">
        <v>49</v>
      </c>
      <c r="I12" s="22" t="s">
        <v>49</v>
      </c>
      <c r="J12" s="22" t="s">
        <v>49</v>
      </c>
      <c r="K12" s="22" t="s">
        <v>49</v>
      </c>
      <c r="L12" s="22" t="s">
        <v>49</v>
      </c>
      <c r="M12" s="22" t="s">
        <v>49</v>
      </c>
      <c r="N12" s="22"/>
      <c r="O12" s="22"/>
      <c r="P12" s="22"/>
      <c r="Q12" s="22"/>
    </row>
    <row r="13" customFormat="false" ht="15" hidden="false" customHeight="false" outlineLevel="0" collapsed="false">
      <c r="A13" s="22" t="s">
        <v>55</v>
      </c>
      <c r="B13" s="23" t="n">
        <v>310</v>
      </c>
      <c r="C13" s="16" t="n">
        <v>5</v>
      </c>
      <c r="D13" s="22" t="s">
        <v>49</v>
      </c>
      <c r="E13" s="22" t="s">
        <v>48</v>
      </c>
      <c r="F13" s="22" t="s">
        <v>49</v>
      </c>
      <c r="G13" s="22" t="s">
        <v>49</v>
      </c>
      <c r="H13" s="22" t="s">
        <v>49</v>
      </c>
      <c r="I13" s="22" t="s">
        <v>49</v>
      </c>
      <c r="J13" s="22" t="s">
        <v>49</v>
      </c>
      <c r="K13" s="22" t="s">
        <v>49</v>
      </c>
      <c r="L13" s="22" t="s">
        <v>49</v>
      </c>
      <c r="M13" s="22" t="s">
        <v>49</v>
      </c>
      <c r="N13" s="22" t="s">
        <v>49</v>
      </c>
      <c r="O13" s="22"/>
      <c r="P13" s="22"/>
      <c r="Q13" s="22"/>
    </row>
    <row r="14" customFormat="false" ht="15" hidden="false" customHeight="false" outlineLevel="0" collapsed="false">
      <c r="A14" s="22" t="s">
        <v>56</v>
      </c>
      <c r="B14" s="23" t="n">
        <v>145</v>
      </c>
      <c r="C14" s="16" t="n">
        <v>8</v>
      </c>
      <c r="D14" s="22" t="s">
        <v>49</v>
      </c>
      <c r="E14" s="22" t="s">
        <v>48</v>
      </c>
      <c r="F14" s="22" t="s">
        <v>49</v>
      </c>
      <c r="G14" s="22" t="s">
        <v>49</v>
      </c>
      <c r="H14" s="22" t="s">
        <v>49</v>
      </c>
      <c r="I14" s="22" t="s">
        <v>49</v>
      </c>
      <c r="J14" s="22" t="s">
        <v>49</v>
      </c>
      <c r="K14" s="22" t="s">
        <v>49</v>
      </c>
      <c r="L14" s="22" t="s">
        <v>49</v>
      </c>
      <c r="M14" s="22" t="s">
        <v>49</v>
      </c>
      <c r="N14" s="22" t="s">
        <v>49</v>
      </c>
      <c r="O14" s="22"/>
      <c r="P14" s="22"/>
      <c r="Q14" s="22"/>
    </row>
    <row r="15" customFormat="false" ht="15" hidden="false" customHeight="false" outlineLevel="0" collapsed="false">
      <c r="A15" s="22" t="s">
        <v>57</v>
      </c>
      <c r="B15" s="23" t="n">
        <v>32</v>
      </c>
      <c r="C15" s="16" t="n">
        <v>22</v>
      </c>
      <c r="D15" s="22" t="s">
        <v>49</v>
      </c>
      <c r="E15" s="22" t="s">
        <v>51</v>
      </c>
      <c r="F15" s="22" t="s">
        <v>49</v>
      </c>
      <c r="G15" s="22" t="s">
        <v>49</v>
      </c>
      <c r="H15" s="22" t="s">
        <v>49</v>
      </c>
      <c r="I15" s="22" t="s">
        <v>49</v>
      </c>
      <c r="J15" s="22" t="s">
        <v>49</v>
      </c>
      <c r="K15" s="22" t="s">
        <v>49</v>
      </c>
      <c r="L15" s="22" t="s">
        <v>49</v>
      </c>
      <c r="M15" s="22" t="s">
        <v>49</v>
      </c>
      <c r="N15" s="22"/>
      <c r="O15" s="22"/>
      <c r="P15" s="22"/>
      <c r="Q15" s="22"/>
    </row>
    <row r="16" customFormat="false" ht="15" hidden="false" customHeight="false" outlineLevel="0" collapsed="false">
      <c r="A16" s="22" t="s">
        <v>58</v>
      </c>
      <c r="B16" s="23" t="n">
        <v>45</v>
      </c>
      <c r="C16" s="16" t="n">
        <v>3</v>
      </c>
      <c r="D16" s="22" t="s">
        <v>49</v>
      </c>
      <c r="E16" s="22" t="s">
        <v>51</v>
      </c>
      <c r="F16" s="22" t="s">
        <v>49</v>
      </c>
      <c r="G16" s="22" t="s">
        <v>49</v>
      </c>
      <c r="H16" s="22" t="s">
        <v>49</v>
      </c>
      <c r="I16" s="22" t="s">
        <v>49</v>
      </c>
      <c r="J16" s="22" t="s">
        <v>49</v>
      </c>
      <c r="K16" s="22" t="s">
        <v>49</v>
      </c>
      <c r="L16" s="22" t="s">
        <v>49</v>
      </c>
      <c r="M16" s="22" t="s">
        <v>49</v>
      </c>
      <c r="N16" s="22" t="s">
        <v>49</v>
      </c>
      <c r="O16" s="22"/>
      <c r="P16" s="22"/>
      <c r="Q16" s="22"/>
    </row>
    <row r="17" customFormat="false" ht="15" hidden="false" customHeight="false" outlineLevel="0" collapsed="false">
      <c r="A17" s="22" t="s">
        <v>59</v>
      </c>
      <c r="B17" s="23" t="n">
        <v>155</v>
      </c>
      <c r="C17" s="16" t="n">
        <v>25</v>
      </c>
      <c r="D17" s="22" t="s">
        <v>47</v>
      </c>
      <c r="E17" s="22" t="s">
        <v>48</v>
      </c>
      <c r="F17" s="22" t="s">
        <v>49</v>
      </c>
      <c r="G17" s="22" t="s">
        <v>49</v>
      </c>
      <c r="H17" s="22" t="s">
        <v>49</v>
      </c>
      <c r="I17" s="22" t="s">
        <v>49</v>
      </c>
      <c r="J17" s="22" t="s">
        <v>49</v>
      </c>
      <c r="K17" s="22" t="s">
        <v>49</v>
      </c>
      <c r="L17" s="22" t="s">
        <v>49</v>
      </c>
      <c r="M17" s="22" t="s">
        <v>49</v>
      </c>
      <c r="N17" s="22"/>
      <c r="O17" s="22"/>
      <c r="P17" s="22"/>
      <c r="Q17" s="22"/>
    </row>
    <row r="18" customFormat="false" ht="15" hidden="false" customHeight="false" outlineLevel="0" collapsed="false">
      <c r="A18" s="22" t="s">
        <v>60</v>
      </c>
      <c r="B18" s="23" t="n">
        <v>210</v>
      </c>
      <c r="C18" s="16" t="n">
        <v>28</v>
      </c>
      <c r="D18" s="22" t="s">
        <v>47</v>
      </c>
      <c r="E18" s="22" t="s">
        <v>48</v>
      </c>
      <c r="F18" s="22" t="s">
        <v>49</v>
      </c>
      <c r="G18" s="22" t="s">
        <v>49</v>
      </c>
      <c r="H18" s="22" t="s">
        <v>49</v>
      </c>
      <c r="I18" s="22" t="s">
        <v>49</v>
      </c>
      <c r="J18" s="22" t="s">
        <v>49</v>
      </c>
      <c r="K18" s="22" t="s">
        <v>49</v>
      </c>
      <c r="L18" s="22" t="s">
        <v>49</v>
      </c>
      <c r="M18" s="22" t="s">
        <v>49</v>
      </c>
      <c r="N18" s="22"/>
      <c r="O18" s="22"/>
      <c r="P18" s="22"/>
      <c r="Q18" s="22"/>
    </row>
    <row r="19" customFormat="false" ht="15" hidden="false" customHeight="false" outlineLevel="0" collapsed="false">
      <c r="A19" s="22"/>
      <c r="B19" s="23"/>
      <c r="C19" s="16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customFormat="false" ht="15" hidden="false" customHeight="false" outlineLevel="0" collapsed="false">
      <c r="A20" s="22"/>
      <c r="B20" s="23"/>
      <c r="C20" s="16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customFormat="false" ht="15" hidden="false" customHeight="false" outlineLevel="0" collapsed="false">
      <c r="A21" s="22"/>
      <c r="B21" s="23"/>
      <c r="C21" s="16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customFormat="false" ht="15" hidden="false" customHeight="false" outlineLevel="0" collapsed="false">
      <c r="A22" s="22"/>
      <c r="B22" s="23"/>
      <c r="C22" s="16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customFormat="false" ht="15" hidden="false" customHeight="false" outlineLevel="0" collapsed="false">
      <c r="A23" s="22"/>
      <c r="B23" s="23"/>
      <c r="C23" s="16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customFormat="false" ht="15" hidden="false" customHeight="false" outlineLevel="0" collapsed="false">
      <c r="A24" s="22"/>
      <c r="B24" s="23"/>
      <c r="C24" s="16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customFormat="false" ht="15" hidden="false" customHeight="false" outlineLevel="0" collapsed="false">
      <c r="A25" s="22"/>
      <c r="B25" s="23"/>
      <c r="C25" s="16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customFormat="false" ht="15" hidden="false" customHeight="false" outlineLevel="0" collapsed="false">
      <c r="A26" s="22"/>
      <c r="B26" s="23"/>
      <c r="C26" s="16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customFormat="false" ht="15" hidden="false" customHeight="false" outlineLevel="0" collapsed="false">
      <c r="A27" s="22"/>
      <c r="B27" s="23"/>
      <c r="C27" s="16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customFormat="false" ht="15" hidden="false" customHeight="false" outlineLevel="0" collapsed="false">
      <c r="A28" s="22"/>
      <c r="B28" s="23"/>
      <c r="C28" s="16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customFormat="false" ht="15" hidden="false" customHeight="false" outlineLevel="0" collapsed="false">
      <c r="A29" s="22"/>
      <c r="B29" s="23"/>
      <c r="C29" s="16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customFormat="false" ht="15" hidden="false" customHeight="false" outlineLevel="0" collapsed="false">
      <c r="A30" s="22"/>
      <c r="B30" s="23"/>
      <c r="C30" s="16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customFormat="false" ht="15" hidden="false" customHeight="false" outlineLevel="0" collapsed="false">
      <c r="A31" s="22"/>
      <c r="B31" s="23"/>
      <c r="C31" s="16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customFormat="false" ht="15" hidden="false" customHeight="false" outlineLevel="0" collapsed="false">
      <c r="A32" s="22"/>
      <c r="B32" s="23"/>
      <c r="C32" s="16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customFormat="false" ht="15" hidden="false" customHeight="false" outlineLevel="0" collapsed="false">
      <c r="A33" s="22"/>
      <c r="B33" s="23"/>
      <c r="C33" s="16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customFormat="false" ht="15" hidden="false" customHeight="false" outlineLevel="0" collapsed="false">
      <c r="A34" s="24" t="s">
        <v>61</v>
      </c>
      <c r="B34" s="25" t="n">
        <f aca="false">SUM(B8:B33)</f>
        <v>3127</v>
      </c>
    </row>
    <row r="35" customFormat="false" ht="15" hidden="false" customHeight="false" outlineLevel="0" collapsed="false">
      <c r="A35" s="19" t="s">
        <v>20</v>
      </c>
      <c r="B35" s="26" t="n">
        <f aca="false">SUMPRODUCT((INDEX(F8:Q33,0,$B$4)="Y")*B8:B33)</f>
        <v>2555</v>
      </c>
    </row>
    <row r="36" customFormat="false" ht="15" hidden="false" customHeight="false" outlineLevel="0" collapsed="false">
      <c r="A36" s="24" t="s">
        <v>62</v>
      </c>
      <c r="B36" s="25" t="n">
        <f aca="false">B34-B35</f>
        <v>572</v>
      </c>
    </row>
    <row r="37" customFormat="false" ht="15" hidden="false" customHeight="false" outlineLevel="0" collapsed="false">
      <c r="A37" s="19" t="s">
        <v>63</v>
      </c>
      <c r="B37" s="26" t="n">
        <f aca="false">SUMPRODUCT((INDEX(F8:Q33,0,$B$4)&lt;&gt;"Y")*(C8:C33&gt;=$B$5)*(C8:C33&lt;=$B$5+7)*B8:B33)</f>
        <v>362</v>
      </c>
    </row>
    <row r="38" customFormat="false" ht="15" hidden="false" customHeight="false" outlineLevel="0" collapsed="false">
      <c r="A38" s="19" t="s">
        <v>64</v>
      </c>
      <c r="B38" s="26" t="n">
        <f aca="false">SUMPRODUCT((INDEX(F8:Q33,0,$B$4)&lt;&gt;"Y")*(C8:C33&lt;$B$5)*B8:B33)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2026-09-18T06:47:52Z</dcterms:created>
  <dc:creator>openpyxl</dc:creator>
  <dc:description/>
  <dc:language>en-US</dc:language>
  <cp:lastModifiedBy/>
  <dcterms:modified xsi:type="dcterms:W3CDTF">2026-09-18T06:47:53Z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