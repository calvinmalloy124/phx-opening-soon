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tart Here" sheetId="1" state="visible" r:id="rId3"/>
    <sheet name="Dashboard" sheetId="2" state="visible" r:id="rId4"/>
    <sheet name="Profit" sheetId="3" state="visible" r:id="rId5"/>
    <sheet name="Settings" sheetId="4" state="visible" r:id="rId6"/>
    <sheet name="Sales" sheetId="5" state="visible" r:id="rId7"/>
    <sheet name="Expens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<sst xmlns="http://schemas.openxmlformats.org/spreadsheetml/2006/main" count="288" uniqueCount="189">
  <si>
    <t xml:space="preserve">Etsy Seller Bookkeeping &amp; Profit Tracker</t>
  </si>
  <si>
    <t xml:space="preserve">Simple Sheets Co. — Excel + Google Sheets</t>
  </si>
  <si>
    <t xml:space="preserve">Setup</t>
  </si>
  <si>
    <t xml:space="preserve">1. Sales tab: one row per order (or paste your Etsy CSV). Etsy fees calculate from the fee rates on the Settings tab.</t>
  </si>
  <si>
    <t xml:space="preserve">2. Expenses tab: supplies, shipping, ads, software, and any other cost.</t>
  </si>
  <si>
    <t xml:space="preserve">3. Profit tab: monthly revenue, fees, expenses, net profit, and margin, plus a year total for tax time.</t>
  </si>
  <si>
    <t xml:space="preserve">Conventions</t>
  </si>
  <si>
    <t xml:space="preserve">• Yellow cells with blue text are inputs. Type over the sample numbers.</t>
  </si>
  <si>
    <t xml:space="preserve">• Black text is a formula. Leave it alone unless you know what you're changing.</t>
  </si>
  <si>
    <t xml:space="preserve">• Green text pulls from another tab.</t>
  </si>
  <si>
    <t xml:space="preserve">• Works in Excel 2016+ and Google Sheets (File &gt; Import &gt; Upload &gt; Replace). No macros.</t>
  </si>
  <si>
    <t xml:space="preserve">• Fee rates are set to Etsy's published US rates as of 2026 (6.5% transaction, 3% + $0.25 payment processing, $0.20 listing). Update on Settings if they change.</t>
  </si>
  <si>
    <t xml:space="preserve">For planning and educational use only. Not financial, legal, or tax advice. Every number is an estimate you should verify for your own business.</t>
  </si>
  <si>
    <t xml:space="preserve">Shop Dashboard</t>
  </si>
  <si>
    <t xml:space="preserve">Sales, fees and profit for the year.</t>
  </si>
  <si>
    <t xml:space="preserve">ORDERS (YTD)</t>
  </si>
  <si>
    <t xml:space="preserve">GROSS SALES</t>
  </si>
  <si>
    <t xml:space="preserve">ETSY FEES</t>
  </si>
  <si>
    <t xml:space="preserve">NET PROFIT</t>
  </si>
  <si>
    <t xml:space="preserve">PROFIT MARGIN</t>
  </si>
  <si>
    <t xml:space="preserve">FEES AS % OF SALES</t>
  </si>
  <si>
    <t xml:space="preserve">SET ASIDE FOR TAX</t>
  </si>
  <si>
    <t xml:space="preserve">AVG ORDER VALUE</t>
  </si>
  <si>
    <t xml:space="preserve">Monthly Profit</t>
  </si>
  <si>
    <t xml:space="preserve">Month</t>
  </si>
  <si>
    <t xml:space="preserve">Orders</t>
  </si>
  <si>
    <t xml:space="preserve">Gross sales</t>
  </si>
  <si>
    <t xml:space="preserve">Etsy fees</t>
  </si>
  <si>
    <t xml:space="preserve">Net payout</t>
  </si>
  <si>
    <t xml:space="preserve">Expenses</t>
  </si>
  <si>
    <t xml:space="preserve">Net profit</t>
  </si>
  <si>
    <t xml:space="preserve">Margin</t>
  </si>
  <si>
    <t xml:space="preserve">Tax set-aside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</si>
  <si>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</si>
  <si>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</si>
  <si>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</si>
  <si>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</si>
  <si>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</si>
  <si>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</si>
  <si>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</si>
  <si>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</si>
  <si>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</si>
  <si>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</si>
  <si>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</si>
  <si>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</si>
  <si>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YEAR</t>
  </si>
  <si>
    <t xml:space="preserve">Sales tax collected by Etsy and remitted on your behalf is excluded from gross. The blank rows use empty-string guards so pasting more orders below works without edits.</t>
  </si>
  <si>
    <t xml:space="preserve">Settings</t>
  </si>
  <si>
    <t xml:space="preserve">Fee rates and assumptions.</t>
  </si>
  <si>
    <t xml:space="preserve">How to use: type your numbers in the yellow cells (blue text). Everything else calculates.</t>
  </si>
  <si>
    <t xml:space="preserve">Transaction fee %</t>
  </si>
  <si>
    <t xml:space="preserve">Payment processing %</t>
  </si>
  <si>
    <t xml:space="preserve">Payment processing fixed $</t>
  </si>
  <si>
    <t xml:space="preserve">Listing fee $</t>
  </si>
  <si>
    <t xml:space="preserve">Offsite ads fee % (if applicable)</t>
  </si>
  <si>
    <t xml:space="preserve">Estimated income tax rate (for set-aside)</t>
  </si>
  <si>
    <t xml:space="preserve">Sales</t>
  </si>
  <si>
    <t xml:space="preserve">One row per order.</t>
  </si>
  <si>
    <t xml:space="preserve">Date</t>
  </si>
  <si>
    <t xml:space="preserve">Order #</t>
  </si>
  <si>
    <t xml:space="preserve">Item</t>
  </si>
  <si>
    <t xml:space="preserve">Qty</t>
  </si>
  <si>
    <t xml:space="preserve">Item price</t>
  </si>
  <si>
    <t xml:space="preserve">Shipping charged</t>
  </si>
  <si>
    <t xml:space="preserve">Sales tax collected</t>
  </si>
  <si>
    <t xml:space="preserve">Gross</t>
  </si>
  <si>
    <t xml:space="preserve">Transaction fee</t>
  </si>
  <si>
    <t xml:space="preserve">Processing fee</t>
  </si>
  <si>
    <t xml:space="preserve">Listing fee</t>
  </si>
  <si>
    <t xml:space="preserve">Offsite ad? (Y)</t>
  </si>
  <si>
    <t xml:space="preserve">Ad fee</t>
  </si>
  <si>
    <t xml:space="preserve">2026-07-03</t>
  </si>
  <si>
    <t xml:space="preserve">321000</t>
  </si>
  <si>
    <t xml:space="preserve">Wedding budget spreadsheet</t>
  </si>
  <si>
    <t xml:space="preserve">2026-07-04</t>
  </si>
  <si>
    <t xml:space="preserve">321001</t>
  </si>
  <si>
    <t xml:space="preserve">Monthly budget planner</t>
  </si>
  <si>
    <t xml:space="preserve">Y</t>
  </si>
  <si>
    <t xml:space="preserve">2026-07-05</t>
  </si>
  <si>
    <t xml:space="preserve">321002</t>
  </si>
  <si>
    <t xml:space="preserve">Debt payoff tracker</t>
  </si>
  <si>
    <t xml:space="preserve">2026-07-06</t>
  </si>
  <si>
    <t xml:space="preserve">321003</t>
  </si>
  <si>
    <t xml:space="preserve">Bill tracker</t>
  </si>
  <si>
    <t xml:space="preserve">2026-07-07</t>
  </si>
  <si>
    <t xml:space="preserve">321004</t>
  </si>
  <si>
    <t xml:space="preserve">2026-07-09</t>
  </si>
  <si>
    <t xml:space="preserve">321005</t>
  </si>
  <si>
    <t xml:space="preserve">321006</t>
  </si>
  <si>
    <t xml:space="preserve">321007</t>
  </si>
  <si>
    <t xml:space="preserve">2026-07-10</t>
  </si>
  <si>
    <t xml:space="preserve">321008</t>
  </si>
  <si>
    <t xml:space="preserve">Savings goals tracker</t>
  </si>
  <si>
    <t xml:space="preserve">321009</t>
  </si>
  <si>
    <t xml:space="preserve">321010</t>
  </si>
  <si>
    <t xml:space="preserve">321011</t>
  </si>
  <si>
    <t xml:space="preserve">321012</t>
  </si>
  <si>
    <t xml:space="preserve">2026-07-12</t>
  </si>
  <si>
    <t xml:space="preserve">321013</t>
  </si>
  <si>
    <t xml:space="preserve">2026-07-14</t>
  </si>
  <si>
    <t xml:space="preserve">321014</t>
  </si>
  <si>
    <t xml:space="preserve">2026-07-15</t>
  </si>
  <si>
    <t xml:space="preserve">321015</t>
  </si>
  <si>
    <t xml:space="preserve">321016</t>
  </si>
  <si>
    <t xml:space="preserve">321017</t>
  </si>
  <si>
    <t xml:space="preserve">2026-07-16</t>
  </si>
  <si>
    <t xml:space="preserve">321018</t>
  </si>
  <si>
    <t xml:space="preserve">2026-07-18</t>
  </si>
  <si>
    <t xml:space="preserve">321019</t>
  </si>
  <si>
    <t xml:space="preserve">321020</t>
  </si>
  <si>
    <t xml:space="preserve">2026-07-20</t>
  </si>
  <si>
    <t xml:space="preserve">321021</t>
  </si>
  <si>
    <t xml:space="preserve">2026-07-22</t>
  </si>
  <si>
    <t xml:space="preserve">321022</t>
  </si>
  <si>
    <t xml:space="preserve">2026-07-23</t>
  </si>
  <si>
    <t xml:space="preserve">321023</t>
  </si>
  <si>
    <t xml:space="preserve">321024</t>
  </si>
  <si>
    <t xml:space="preserve">2026-07-25</t>
  </si>
  <si>
    <t xml:space="preserve">321025</t>
  </si>
  <si>
    <t xml:space="preserve">2026-07-26</t>
  </si>
  <si>
    <t xml:space="preserve">321026</t>
  </si>
  <si>
    <t xml:space="preserve">321027</t>
  </si>
  <si>
    <t xml:space="preserve">2026-07-28</t>
  </si>
  <si>
    <t xml:space="preserve">321028</t>
  </si>
  <si>
    <t xml:space="preserve">2026-07-29</t>
  </si>
  <si>
    <t xml:space="preserve">321029</t>
  </si>
  <si>
    <t xml:space="preserve">2026-07-31</t>
  </si>
  <si>
    <t xml:space="preserve">321030</t>
  </si>
  <si>
    <t xml:space="preserve">2026-08-02</t>
  </si>
  <si>
    <t xml:space="preserve">321031</t>
  </si>
  <si>
    <t xml:space="preserve">321032</t>
  </si>
  <si>
    <t xml:space="preserve">2026-08-04</t>
  </si>
  <si>
    <t xml:space="preserve">321033</t>
  </si>
  <si>
    <t xml:space="preserve">2026-08-05</t>
  </si>
  <si>
    <t xml:space="preserve">321034</t>
  </si>
  <si>
    <t xml:space="preserve">321035</t>
  </si>
  <si>
    <t xml:space="preserve">321036</t>
  </si>
  <si>
    <t xml:space="preserve">321037</t>
  </si>
  <si>
    <t xml:space="preserve">2026-08-07</t>
  </si>
  <si>
    <t xml:space="preserve">321038</t>
  </si>
  <si>
    <t xml:space="preserve">2026-08-09</t>
  </si>
  <si>
    <t xml:space="preserve">321039</t>
  </si>
  <si>
    <t xml:space="preserve">2026-08-10</t>
  </si>
  <si>
    <t xml:space="preserve">321040</t>
  </si>
  <si>
    <t xml:space="preserve">321041</t>
  </si>
  <si>
    <t xml:space="preserve">2026-08-12</t>
  </si>
  <si>
    <t xml:space="preserve">321042</t>
  </si>
  <si>
    <t xml:space="preserve">2026-08-14</t>
  </si>
  <si>
    <t xml:space="preserve">321043</t>
  </si>
  <si>
    <t xml:space="preserve">2026-08-16</t>
  </si>
  <si>
    <t xml:space="preserve">321044</t>
  </si>
  <si>
    <t xml:space="preserve">2026-08-17</t>
  </si>
  <si>
    <t xml:space="preserve">321045</t>
  </si>
  <si>
    <t xml:space="preserve">321046</t>
  </si>
  <si>
    <t xml:space="preserve">2026-08-19</t>
  </si>
  <si>
    <t xml:space="preserve">321047</t>
  </si>
  <si>
    <t xml:space="preserve">2026-08-21</t>
  </si>
  <si>
    <t xml:space="preserve">321048</t>
  </si>
  <si>
    <t xml:space="preserve">2026-08-23</t>
  </si>
  <si>
    <t xml:space="preserve">321049</t>
  </si>
  <si>
    <t xml:space="preserve">321050</t>
  </si>
  <si>
    <t xml:space="preserve">2026-08-25</t>
  </si>
  <si>
    <t xml:space="preserve">321051</t>
  </si>
  <si>
    <t xml:space="preserve">321052</t>
  </si>
  <si>
    <t xml:space="preserve">2026-08-27</t>
  </si>
  <si>
    <t xml:space="preserve">321053</t>
  </si>
  <si>
    <t xml:space="preserve">2026-08-28</t>
  </si>
  <si>
    <t xml:space="preserve">321054</t>
  </si>
  <si>
    <t xml:space="preserve">2026-08-29</t>
  </si>
  <si>
    <t xml:space="preserve">321055</t>
  </si>
  <si>
    <t xml:space="preserve">2026-08-30</t>
  </si>
  <si>
    <t xml:space="preserve">321056</t>
  </si>
  <si>
    <t xml:space="preserve">321057</t>
  </si>
  <si>
    <t xml:space="preserve">2026-08-31</t>
  </si>
  <si>
    <t xml:space="preserve">321058</t>
  </si>
  <si>
    <t xml:space="preserve">321059</t>
  </si>
  <si>
    <t xml:space="preserve">Category</t>
  </si>
  <si>
    <t xml:space="preserve">Description</t>
  </si>
  <si>
    <t xml:space="preserve">Amount</t>
  </si>
  <si>
    <t xml:space="preserve">Software</t>
  </si>
  <si>
    <t xml:space="preserve">Canva Pro</t>
  </si>
  <si>
    <t xml:space="preserve">Ads</t>
  </si>
  <si>
    <t xml:space="preserve">Etsy Ads</t>
  </si>
  <si>
    <t xml:space="preserve">2026-08-03</t>
  </si>
  <si>
    <t xml:space="preserve">2026-08-20</t>
  </si>
  <si>
    <t xml:space="preserve">Tools</t>
  </si>
  <si>
    <t xml:space="preserve">Keyword research tool</t>
  </si>
  <si>
    <t xml:space="preserve">2026-09-03</t>
  </si>
  <si>
    <t xml:space="preserve">2026-09-10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</si>
</sst>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\$#,##0.00;&quot;($&quot;#,##0.0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2A2C"/>
      <name val="Arial"/>
      <family val="0"/>
      <charset val="1"/>
    </font>
    <font>
      <i val="true"/>
      <sz val="10"/>
      <color rgb="FF6B7A7C"/>
      <name val="Arial"/>
      <family val="0"/>
      <charset val="1"/>
    </font>
    <font>
      <b val="true"/>
      <sz val="9"/>
      <color rgb="FF6B7A7C"/>
      <name val="Arial"/>
      <family val="0"/>
      <charset val="1"/>
    </font>
    <font>
      <b val="true"/>
      <sz val="20"/>
      <color rgb="FF2E6F73"/>
      <name val="Arial"/>
      <family val="0"/>
      <charset val="1"/>
    </font>
    <font>
      <b val="true"/>
      <sz val="20"/>
      <color rgb="FFC7813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1EC"/>
        <bgColor rgb="FFFBF6E9"/>
      </patternFill>
    </fill>
    <fill>
      <patternFill patternType="solid">
        <fgColor rgb="FF2E6F73"/>
        <bgColor rgb="FF008080"/>
      </patternFill>
    </fill>
    <fill>
      <patternFill patternType="solid">
        <fgColor rgb="FFFBF6E9"/>
        <bgColor rgb="FFF4F1EC"/>
      </patternFill>
    </fill>
    <fill>
      <patternFill patternType="solid">
        <fgColor rgb="FFE7E6E6"/>
        <bgColor rgb="FFF4F1EC"/>
      </patternFill>
    </fill>
    <fill>
      <patternFill patternType="solid">
        <fgColor rgb="FFFFE9A8"/>
        <bgColor rgb="FFFBF6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/>
      <bottom style="thin">
        <color rgb="FFD9D4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73"/>
      <rgbColor rgb="FFBFBFBF"/>
      <rgbColor rgb="FF878787"/>
      <rgbColor rgb="FF9999FF"/>
      <rgbColor rgb="FF993366"/>
      <rgbColor rgb="FFFBF6E9"/>
      <rgbColor rgb="FFF4F1EC"/>
      <rgbColor rgb="FF660066"/>
      <rgbColor rgb="FFC781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9A8"/>
      <rgbColor rgb="FF99CCFF"/>
      <rgbColor rgb="FFFF99CC"/>
      <rgbColor rgb="FFCC99FF"/>
      <rgbColor rgb="FFD9D4CC"/>
      <rgbColor rgb="FF3366FF"/>
      <rgbColor rgb="FF33CCCC"/>
      <rgbColor rgb="FF99CC00"/>
      <rgbColor rgb="FFFFCC00"/>
      <rgbColor rgb="FFFF9900"/>
      <rgbColor rgb="FFFF6600"/>
      <rgbColor rgb="FF666666"/>
      <rgbColor rgb="FF6B7A7C"/>
      <rgbColor rgb="FF003366"/>
      <rgbColor rgb="FF339966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sales vs. net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Profit!C3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2e6f73"/>
            </a:solidFill>
            <a:ln w="9360">
              <a:solidFill>
                <a:srgbClr val="2e6f7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Profit!$A$4:$A$15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Profit!$C$4:$C$15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264</c:v>
                </c:pt>
                <c:pt idx="7">
                  <c:v>249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Profit!G3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c7813f"/>
            </a:solidFill>
            <a:ln w="9360">
              <a:solidFill>
                <a:srgbClr val="c7813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Profit!$A$4:$A$15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Profit!$G$4:$G$15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159.4656</c:v>
                </c:pt>
                <c:pt idx="7">
                  <c:v>114.3721</c:v>
                </c:pt>
                <c:pt idx="8">
                  <c:v>-75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7780844"/>
        <c:axId val="91470359"/>
      </c:barChart>
      <c:catAx>
        <c:axId val="17780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70359"/>
        <c:crosses val="autoZero"/>
        <c:auto val="1"/>
        <c:lblAlgn val="ctr"/>
        <c:lblOffset val="100"/>
        <c:noMultiLvlLbl val="0"/>
      </c:catAx>
      <c:valAx>
        <c:axId val="91470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808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Profit!B3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e6f73"/>
            </a:solidFill>
            <a:ln w="28080">
              <a:solidFill>
                <a:srgbClr val="2e6f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Profit!$A$4:$A$15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Profit!$B$4:$B$15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31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080543"/>
        <c:axId val="52010743"/>
      </c:lineChart>
      <c:catAx>
        <c:axId val="7108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10743"/>
        <c:crosses val="autoZero"/>
        <c:auto val="1"/>
        <c:lblAlgn val="ctr"/>
        <c:lblOffset val="100"/>
        <c:noMultiLvlLbl val="0"/>
      </c:catAx>
      <c:valAx>
        <c:axId val="52010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805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70560</xdr:rowOff>
    </xdr:from>
    <xdr:to>
      <xdr:col>6</xdr:col>
      <xdr:colOff>701280</xdr:colOff>
      <xdr:row>26</xdr:row>
      <xdr:rowOff>92880</xdr:rowOff>
    </xdr:to>
    <xdr:graphicFrame>
      <xdr:nvGraphicFramePr>
        <xdr:cNvPr id="0" name="Chart 1"/>
        <xdr:cNvGraphicFramePr/>
      </xdr:nvGraphicFramePr>
      <xdr:xfrm>
        <a:off x="266760" y="24004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70200</xdr:rowOff>
    </xdr:from>
    <xdr:to>
      <xdr:col>6</xdr:col>
      <xdr:colOff>701280</xdr:colOff>
      <xdr:row>43</xdr:row>
      <xdr:rowOff>92520</xdr:rowOff>
    </xdr:to>
    <xdr:graphicFrame>
      <xdr:nvGraphicFramePr>
        <xdr:cNvPr id="1" name="Chart 2"/>
        <xdr:cNvGraphicFramePr/>
      </xdr:nvGraphicFramePr>
      <xdr:xfrm>
        <a:off x="266760" y="5638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6" customFormat="false" ht="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3"/>
  </cols>
  <sheetData>
    <row r="2" customFormat="false" ht="24.45" hidden="false" customHeight="false" outlineLevel="0" collapsed="false">
      <c r="B2" s="5" t="s">
        <v>13</v>
      </c>
    </row>
    <row r="3" customFormat="false" ht="15" hidden="false" customHeight="false" outlineLevel="0" collapsed="false">
      <c r="B3" s="6" t="s">
        <v>14</v>
      </c>
    </row>
    <row r="5" customFormat="false" ht="15.75" hidden="false" customHeight="true" outlineLevel="0" collapsed="false">
      <c r="B5" s="7" t="s">
        <v>15</v>
      </c>
      <c r="C5" s="7"/>
      <c r="D5" s="7"/>
      <c r="E5" s="7" t="s">
        <v>16</v>
      </c>
      <c r="F5" s="7"/>
      <c r="G5" s="7"/>
      <c r="H5" s="7" t="s">
        <v>17</v>
      </c>
      <c r="I5" s="7"/>
      <c r="J5" s="7"/>
      <c r="K5" s="7" t="s">
        <v>18</v>
      </c>
      <c r="L5" s="7"/>
      <c r="M5" s="7"/>
    </row>
    <row r="6" customFormat="false" ht="21.75" hidden="false" customHeight="true" outlineLevel="0" collapsed="false">
      <c r="B6" s="8" t="n">
        <f aca="false">Profit!B16</f>
        <v>60</v>
      </c>
      <c r="C6" s="8"/>
      <c r="D6" s="8"/>
      <c r="E6" s="9" t="n">
        <f aca="false">Profit!C16</f>
        <v>513</v>
      </c>
      <c r="F6" s="9"/>
      <c r="G6" s="9"/>
      <c r="H6" s="9" t="n">
        <f aca="false">Profit!D16</f>
        <v>84.1623</v>
      </c>
      <c r="I6" s="9"/>
      <c r="J6" s="9"/>
      <c r="K6" s="10" t="n">
        <f aca="false">Profit!G16</f>
        <v>198.8377</v>
      </c>
      <c r="L6" s="10"/>
      <c r="M6" s="10"/>
    </row>
    <row r="7" customFormat="false" ht="12" hidden="false" customHeight="true" outlineLevel="0" collapsed="false">
      <c r="B7" s="8"/>
      <c r="C7" s="8"/>
      <c r="D7" s="8"/>
      <c r="E7" s="9"/>
      <c r="F7" s="9"/>
      <c r="G7" s="9"/>
      <c r="H7" s="9"/>
      <c r="I7" s="9"/>
      <c r="J7" s="9"/>
      <c r="K7" s="10"/>
      <c r="L7" s="10"/>
      <c r="M7" s="10"/>
    </row>
    <row r="9" customFormat="false" ht="15.75" hidden="false" customHeight="true" outlineLevel="0" collapsed="false">
      <c r="B9" s="7" t="s">
        <v>19</v>
      </c>
      <c r="C9" s="7"/>
      <c r="D9" s="7"/>
      <c r="E9" s="7" t="s">
        <v>20</v>
      </c>
      <c r="F9" s="7"/>
      <c r="G9" s="7"/>
      <c r="H9" s="7" t="s">
        <v>21</v>
      </c>
      <c r="I9" s="7"/>
      <c r="J9" s="7"/>
      <c r="K9" s="7" t="s">
        <v>22</v>
      </c>
      <c r="L9" s="7"/>
      <c r="M9" s="7"/>
    </row>
    <row r="10" customFormat="false" ht="21.75" hidden="false" customHeight="true" outlineLevel="0" collapsed="false">
      <c r="B10" s="11" t="n">
        <f aca="false">Profit!H16</f>
        <v>0.387597855750487</v>
      </c>
      <c r="C10" s="11"/>
      <c r="D10" s="11"/>
      <c r="E10" s="12" t="n">
        <f aca="false">IF(Profit!C16=0,0,Profit!D16/Profit!C16)</f>
        <v>0.164059064327485</v>
      </c>
      <c r="F10" s="12"/>
      <c r="G10" s="12"/>
      <c r="H10" s="9" t="n">
        <f aca="false">Profit!I16</f>
        <v>68.459425</v>
      </c>
      <c r="I10" s="9"/>
      <c r="J10" s="9"/>
      <c r="K10" s="13" t="n">
        <f aca="false">IF(Profit!B16=0,0,Profit!C16/Profit!B16)</f>
        <v>8.55</v>
      </c>
      <c r="L10" s="13"/>
      <c r="M10" s="13"/>
    </row>
    <row r="11" customFormat="false" ht="12" hidden="false" customHeight="true" outlineLevel="0" collapsed="false">
      <c r="B11" s="11"/>
      <c r="C11" s="11"/>
      <c r="D11" s="11"/>
      <c r="E11" s="12"/>
      <c r="F11" s="12"/>
      <c r="G11" s="12"/>
      <c r="H11" s="9"/>
      <c r="I11" s="9"/>
      <c r="J11" s="9"/>
      <c r="K11" s="13"/>
      <c r="L11" s="13"/>
      <c r="M11" s="13"/>
    </row>
  </sheetData>
  <mergeCells count="16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H9:J9"/>
    <mergeCell ref="K9:M9"/>
    <mergeCell ref="B10:D11"/>
    <mergeCell ref="E10:G11"/>
    <mergeCell ref="H10:J11"/>
    <mergeCell ref="K10:M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23</v>
      </c>
    </row>
    <row r="3" customFormat="false" ht="30" hidden="false" customHeight="true" outlineLevel="0" collapsed="false">
      <c r="A3" s="14" t="s">
        <v>24</v>
      </c>
      <c r="B3" s="14" t="s">
        <v>25</v>
      </c>
      <c r="C3" s="14" t="s">
        <v>26</v>
      </c>
      <c r="D3" s="14" t="s">
        <v>27</v>
      </c>
      <c r="E3" s="14" t="s">
        <v>28</v>
      </c>
      <c r="F3" s="14" t="s">
        <v>29</v>
      </c>
      <c r="G3" s="14" t="s">
        <v>30</v>
      </c>
      <c r="H3" s="14" t="s">
        <v>31</v>
      </c>
      <c r="I3" s="14" t="s">
        <v>32</v>
      </c>
    </row>
    <row r="4" customFormat="false" ht="15" hidden="false" customHeight="false" outlineLevel="0" collapsed="false">
      <c r="A4" s="15" t="s">
        <v>33</v>
      </c>
      <c r="B4" s="16" t="n">
        <f aca="false">COUNTIF(Sales!$O$6:$O$265,A4)</f>
        <v>0</v>
      </c>
      <c r="C4" s="17" t="n">
        <f aca="false">SUMIF(Sales!$O$6:$O$265,A4,Sales!$H$6:$H$265)</f>
        <v>0</v>
      </c>
      <c r="D4" s="17" t="n">
        <f aca="false">SUMIF(Sales!$O$6:$O$265,A4,Sales!$I$6:$I$265)+SUMIF(Sales!$O$6:$O$265,A4,Sales!$J$6:$J$265)+SUMIF(Sales!$O$6:$O$265,A4,Sales!$K$6:$K$265)+SUMIF(Sales!$O$6:$O$265,A4,Sales!$M$6:$M$265)</f>
        <v>0</v>
      </c>
      <c r="E4" s="18" t="n">
        <f aca="false">C4-D4</f>
        <v>0</v>
      </c>
      <c r="F4" s="17" t="n">
        <f aca="false">SUMIF(Expenses!$E$5:$E$111,A4,Expenses!$D$5:$D$111)</f>
        <v>0</v>
      </c>
      <c r="G4" s="19" t="n">
        <f aca="false">E4-F4</f>
        <v>0</v>
      </c>
      <c r="H4" s="20" t="n">
        <f aca="false">IF(C4=0,0,G4/C4)</f>
        <v>0</v>
      </c>
      <c r="I4" s="17" t="n">
        <f aca="false">MAX(0,G4)*Settings!$B$10</f>
        <v>0</v>
      </c>
    </row>
    <row r="5" customFormat="false" ht="15" hidden="false" customHeight="false" outlineLevel="0" collapsed="false">
      <c r="A5" s="15" t="s">
        <v>34</v>
      </c>
      <c r="B5" s="16" t="n">
        <f aca="false">COUNTIF(Sales!$O$6:$O$265,A5)</f>
        <v>0</v>
      </c>
      <c r="C5" s="17" t="n">
        <f aca="false">SUMIF(Sales!$O$6:$O$265,A5,Sales!$H$6:$H$265)</f>
        <v>0</v>
      </c>
      <c r="D5" s="17" t="n">
        <f aca="false">SUMIF(Sales!$O$6:$O$265,A5,Sales!$I$6:$I$265)+SUMIF(Sales!$O$6:$O$265,A5,Sales!$J$6:$J$265)+SUMIF(Sales!$O$6:$O$265,A5,Sales!$K$6:$K$265)+SUMIF(Sales!$O$6:$O$265,A5,Sales!$M$6:$M$265)</f>
        <v>0</v>
      </c>
      <c r="E5" s="18" t="n">
        <f aca="false">C5-D5</f>
        <v>0</v>
      </c>
      <c r="F5" s="17" t="n">
        <f aca="false">SUMIF(Expenses!$E$5:$E$111,A5,Expenses!$D$5:$D$111)</f>
        <v>0</v>
      </c>
      <c r="G5" s="19" t="n">
        <f aca="false">E5-F5</f>
        <v>0</v>
      </c>
      <c r="H5" s="20" t="n">
        <f aca="false">IF(C5=0,0,G5/C5)</f>
        <v>0</v>
      </c>
      <c r="I5" s="17" t="n">
        <f aca="false">MAX(0,G5)*Settings!$B$10</f>
        <v>0</v>
      </c>
    </row>
    <row r="6" customFormat="false" ht="15" hidden="false" customHeight="false" outlineLevel="0" collapsed="false">
      <c r="A6" s="15" t="s">
        <v>35</v>
      </c>
      <c r="B6" s="16" t="n">
        <f aca="false">COUNTIF(Sales!$O$6:$O$265,A6)</f>
        <v>0</v>
      </c>
      <c r="C6" s="17" t="n">
        <f aca="false">SUMIF(Sales!$O$6:$O$265,A6,Sales!$H$6:$H$265)</f>
        <v>0</v>
      </c>
      <c r="D6" s="17" t="n">
        <f aca="false">SUMIF(Sales!$O$6:$O$265,A6,Sales!$I$6:$I$265)+SUMIF(Sales!$O$6:$O$265,A6,Sales!$J$6:$J$265)+SUMIF(Sales!$O$6:$O$265,A6,Sales!$K$6:$K$265)+SUMIF(Sales!$O$6:$O$265,A6,Sales!$M$6:$M$265)</f>
        <v>0</v>
      </c>
      <c r="E6" s="18" t="n">
        <f aca="false">C6-D6</f>
        <v>0</v>
      </c>
      <c r="F6" s="17" t="n">
        <f aca="false">SUMIF(Expenses!$E$5:$E$111,A6,Expenses!$D$5:$D$111)</f>
        <v>0</v>
      </c>
      <c r="G6" s="19" t="n">
        <f aca="false">E6-F6</f>
        <v>0</v>
      </c>
      <c r="H6" s="20" t="n">
        <f aca="false">IF(C6=0,0,G6/C6)</f>
        <v>0</v>
      </c>
      <c r="I6" s="17" t="n">
        <f aca="false">MAX(0,G6)*Settings!$B$10</f>
        <v>0</v>
      </c>
    </row>
    <row r="7" customFormat="false" ht="15" hidden="false" customHeight="false" outlineLevel="0" collapsed="false">
      <c r="A7" s="15" t="s">
        <v>36</v>
      </c>
      <c r="B7" s="16" t="n">
        <f aca="false">COUNTIF(Sales!$O$6:$O$265,A7)</f>
        <v>0</v>
      </c>
      <c r="C7" s="17" t="n">
        <f aca="false">SUMIF(Sales!$O$6:$O$265,A7,Sales!$H$6:$H$265)</f>
        <v>0</v>
      </c>
      <c r="D7" s="17" t="n">
        <f aca="false">SUMIF(Sales!$O$6:$O$265,A7,Sales!$I$6:$I$265)+SUMIF(Sales!$O$6:$O$265,A7,Sales!$J$6:$J$265)+SUMIF(Sales!$O$6:$O$265,A7,Sales!$K$6:$K$265)+SUMIF(Sales!$O$6:$O$265,A7,Sales!$M$6:$M$265)</f>
        <v>0</v>
      </c>
      <c r="E7" s="18" t="n">
        <f aca="false">C7-D7</f>
        <v>0</v>
      </c>
      <c r="F7" s="17" t="n">
        <f aca="false">SUMIF(Expenses!$E$5:$E$111,A7,Expenses!$D$5:$D$111)</f>
        <v>0</v>
      </c>
      <c r="G7" s="19" t="n">
        <f aca="false">E7-F7</f>
        <v>0</v>
      </c>
      <c r="H7" s="20" t="n">
        <f aca="false">IF(C7=0,0,G7/C7)</f>
        <v>0</v>
      </c>
      <c r="I7" s="17" t="n">
        <f aca="false">MAX(0,G7)*Settings!$B$10</f>
        <v>0</v>
      </c>
    </row>
    <row r="8" customFormat="false" ht="15" hidden="false" customHeight="false" outlineLevel="0" collapsed="false">
      <c r="A8" s="15" t="s">
        <v>37</v>
      </c>
      <c r="B8" s="16" t="n">
        <f aca="false">COUNTIF(Sales!$O$6:$O$265,A8)</f>
        <v>0</v>
      </c>
      <c r="C8" s="17" t="n">
        <f aca="false">SUMIF(Sales!$O$6:$O$265,A8,Sales!$H$6:$H$265)</f>
        <v>0</v>
      </c>
      <c r="D8" s="17" t="n">
        <f aca="false">SUMIF(Sales!$O$6:$O$265,A8,Sales!$I$6:$I$265)+SUMIF(Sales!$O$6:$O$265,A8,Sales!$J$6:$J$265)+SUMIF(Sales!$O$6:$O$265,A8,Sales!$K$6:$K$265)+SUMIF(Sales!$O$6:$O$265,A8,Sales!$M$6:$M$265)</f>
        <v>0</v>
      </c>
      <c r="E8" s="18" t="n">
        <f aca="false">C8-D8</f>
        <v>0</v>
      </c>
      <c r="F8" s="17" t="n">
        <f aca="false">SUMIF(Expenses!$E$5:$E$111,A8,Expenses!$D$5:$D$111)</f>
        <v>0</v>
      </c>
      <c r="G8" s="19" t="n">
        <f aca="false">E8-F8</f>
        <v>0</v>
      </c>
      <c r="H8" s="20" t="n">
        <f aca="false">IF(C8=0,0,G8/C8)</f>
        <v>0</v>
      </c>
      <c r="I8" s="17" t="n">
        <f aca="false">MAX(0,G8)*Settings!$B$10</f>
        <v>0</v>
      </c>
    </row>
    <row r="9" customFormat="false" ht="15" hidden="false" customHeight="false" outlineLevel="0" collapsed="false">
      <c r="A9" s="15" t="s">
        <v>38</v>
      </c>
      <c r="B9" s="16" t="n">
        <f aca="false">COUNTIF(Sales!$O$6:$O$265,A9)</f>
        <v>0</v>
      </c>
      <c r="C9" s="17" t="n">
        <f aca="false">SUMIF(Sales!$O$6:$O$265,A9,Sales!$H$6:$H$265)</f>
        <v>0</v>
      </c>
      <c r="D9" s="17" t="n">
        <f aca="false">SUMIF(Sales!$O$6:$O$265,A9,Sales!$I$6:$I$265)+SUMIF(Sales!$O$6:$O$265,A9,Sales!$J$6:$J$265)+SUMIF(Sales!$O$6:$O$265,A9,Sales!$K$6:$K$265)+SUMIF(Sales!$O$6:$O$265,A9,Sales!$M$6:$M$265)</f>
        <v>0</v>
      </c>
      <c r="E9" s="18" t="n">
        <f aca="false">C9-D9</f>
        <v>0</v>
      </c>
      <c r="F9" s="17" t="n">
        <f aca="false">SUMIF(Expenses!$E$5:$E$111,A9,Expenses!$D$5:$D$111)</f>
        <v>0</v>
      </c>
      <c r="G9" s="19" t="n">
        <f aca="false">E9-F9</f>
        <v>0</v>
      </c>
      <c r="H9" s="20" t="n">
        <f aca="false">IF(C9=0,0,G9/C9)</f>
        <v>0</v>
      </c>
      <c r="I9" s="17" t="n">
        <f aca="false">MAX(0,G9)*Settings!$B$10</f>
        <v>0</v>
      </c>
    </row>
    <row r="10" customFormat="false" ht="15" hidden="false" customHeight="false" outlineLevel="0" collapsed="false">
      <c r="A10" s="15" t="s">
        <v>39</v>
      </c>
      <c r="B10" s="16" t="n">
        <f aca="false">COUNTIF(Sales!$O$6:$O$265,A10)</f>
        <v>31</v>
      </c>
      <c r="C10" s="17" t="n">
        <f aca="false">SUMIF(Sales!$O$6:$O$265,A10,Sales!$H$6:$H$265)</f>
        <v>264</v>
      </c>
      <c r="D10" s="17" t="n">
        <f aca="false">SUMIF(Sales!$O$6:$O$265,A10,Sales!$I$6:$I$265)+SUMIF(Sales!$O$6:$O$265,A10,Sales!$J$6:$J$265)+SUMIF(Sales!$O$6:$O$265,A10,Sales!$K$6:$K$265)+SUMIF(Sales!$O$6:$O$265,A10,Sales!$M$6:$M$265)</f>
        <v>44.5344</v>
      </c>
      <c r="E10" s="18" t="n">
        <f aca="false">C10-D10</f>
        <v>219.4656</v>
      </c>
      <c r="F10" s="17" t="n">
        <f aca="false">SUMIF(Expenses!$E$5:$E$111,A10,Expenses!$D$5:$D$111)</f>
        <v>60</v>
      </c>
      <c r="G10" s="19" t="n">
        <f aca="false">E10-F10</f>
        <v>159.4656</v>
      </c>
      <c r="H10" s="20" t="n">
        <f aca="false">IF(C10=0,0,G10/C10)</f>
        <v>0.604036363636364</v>
      </c>
      <c r="I10" s="17" t="n">
        <f aca="false">MAX(0,G10)*Settings!$B$10</f>
        <v>39.8664</v>
      </c>
    </row>
    <row r="11" customFormat="false" ht="15" hidden="false" customHeight="false" outlineLevel="0" collapsed="false">
      <c r="A11" s="15" t="s">
        <v>40</v>
      </c>
      <c r="B11" s="16" t="n">
        <f aca="false">COUNTIF(Sales!$O$6:$O$265,A11)</f>
        <v>29</v>
      </c>
      <c r="C11" s="17" t="n">
        <f aca="false">SUMIF(Sales!$O$6:$O$265,A11,Sales!$H$6:$H$265)</f>
        <v>249</v>
      </c>
      <c r="D11" s="17" t="n">
        <f aca="false">SUMIF(Sales!$O$6:$O$265,A11,Sales!$I$6:$I$265)+SUMIF(Sales!$O$6:$O$265,A11,Sales!$J$6:$J$265)+SUMIF(Sales!$O$6:$O$265,A11,Sales!$K$6:$K$265)+SUMIF(Sales!$O$6:$O$265,A11,Sales!$M$6:$M$265)</f>
        <v>39.6279</v>
      </c>
      <c r="E11" s="18" t="n">
        <f aca="false">C11-D11</f>
        <v>209.3721</v>
      </c>
      <c r="F11" s="17" t="n">
        <f aca="false">SUMIF(Expenses!$E$5:$E$111,A11,Expenses!$D$5:$D$111)</f>
        <v>95</v>
      </c>
      <c r="G11" s="19" t="n">
        <f aca="false">E11-F11</f>
        <v>114.3721</v>
      </c>
      <c r="H11" s="20" t="n">
        <f aca="false">IF(C11=0,0,G11/C11)</f>
        <v>0.459325702811245</v>
      </c>
      <c r="I11" s="17" t="n">
        <f aca="false">MAX(0,G11)*Settings!$B$10</f>
        <v>28.593025</v>
      </c>
    </row>
    <row r="12" customFormat="false" ht="15" hidden="false" customHeight="false" outlineLevel="0" collapsed="false">
      <c r="A12" s="15" t="s">
        <v>41</v>
      </c>
      <c r="B12" s="16" t="n">
        <f aca="false">COUNTIF(Sales!$O$6:$O$265,A12)</f>
        <v>0</v>
      </c>
      <c r="C12" s="17" t="n">
        <f aca="false">SUMIF(Sales!$O$6:$O$265,A12,Sales!$H$6:$H$265)</f>
        <v>0</v>
      </c>
      <c r="D12" s="17" t="n">
        <f aca="false">SUMIF(Sales!$O$6:$O$265,A12,Sales!$I$6:$I$265)+SUMIF(Sales!$O$6:$O$265,A12,Sales!$J$6:$J$265)+SUMIF(Sales!$O$6:$O$265,A12,Sales!$K$6:$K$265)+SUMIF(Sales!$O$6:$O$265,A12,Sales!$M$6:$M$265)</f>
        <v>0</v>
      </c>
      <c r="E12" s="18" t="n">
        <f aca="false">C12-D12</f>
        <v>0</v>
      </c>
      <c r="F12" s="17" t="n">
        <f aca="false">SUMIF(Expenses!$E$5:$E$111,A12,Expenses!$D$5:$D$111)</f>
        <v>75</v>
      </c>
      <c r="G12" s="19" t="n">
        <f aca="false">E12-F12</f>
        <v>-75</v>
      </c>
      <c r="H12" s="20" t="n">
        <f aca="false">IF(C12=0,0,G12/C12)</f>
        <v>0</v>
      </c>
      <c r="I12" s="17" t="n">
        <f aca="false">MAX(0,G12)*Settings!$B$10</f>
        <v>0</v>
      </c>
    </row>
    <row r="13" customFormat="false" ht="15" hidden="false" customHeight="false" outlineLevel="0" collapsed="false">
      <c r="A13" s="15" t="s">
        <v>42</v>
      </c>
      <c r="B13" s="16" t="n">
        <f aca="false">COUNTIF(Sales!$O$6:$O$265,A13)</f>
        <v>0</v>
      </c>
      <c r="C13" s="17" t="n">
        <f aca="false">SUMIF(Sales!$O$6:$O$265,A13,Sales!$H$6:$H$265)</f>
        <v>0</v>
      </c>
      <c r="D13" s="17" t="n">
        <f aca="false">SUMIF(Sales!$O$6:$O$265,A13,Sales!$I$6:$I$265)+SUMIF(Sales!$O$6:$O$265,A13,Sales!$J$6:$J$265)+SUMIF(Sales!$O$6:$O$265,A13,Sales!$K$6:$K$265)+SUMIF(Sales!$O$6:$O$265,A13,Sales!$M$6:$M$265)</f>
        <v>0</v>
      </c>
      <c r="E13" s="18" t="n">
        <f aca="false">C13-D13</f>
        <v>0</v>
      </c>
      <c r="F13" s="17" t="n">
        <f aca="false">SUMIF(Expenses!$E$5:$E$111,A13,Expenses!$D$5:$D$111)</f>
        <v>0</v>
      </c>
      <c r="G13" s="19" t="n">
        <f aca="false">E13-F13</f>
        <v>0</v>
      </c>
      <c r="H13" s="20" t="n">
        <f aca="false">IF(C13=0,0,G13/C13)</f>
        <v>0</v>
      </c>
      <c r="I13" s="17" t="n">
        <f aca="false">MAX(0,G13)*Settings!$B$10</f>
        <v>0</v>
      </c>
    </row>
    <row r="14" customFormat="false" ht="15" hidden="false" customHeight="false" outlineLevel="0" collapsed="false">
      <c r="A14" s="15" t="s">
        <v>43</v>
      </c>
      <c r="B14" s="16" t="n">
        <f aca="false">COUNTIF(Sales!$O$6:$O$265,A14)</f>
        <v>0</v>
      </c>
      <c r="C14" s="17" t="n">
        <f aca="false">SUMIF(Sales!$O$6:$O$265,A14,Sales!$H$6:$H$265)</f>
        <v>0</v>
      </c>
      <c r="D14" s="17" t="n">
        <f aca="false">SUMIF(Sales!$O$6:$O$265,A14,Sales!$I$6:$I$265)+SUMIF(Sales!$O$6:$O$265,A14,Sales!$J$6:$J$265)+SUMIF(Sales!$O$6:$O$265,A14,Sales!$K$6:$K$265)+SUMIF(Sales!$O$6:$O$265,A14,Sales!$M$6:$M$265)</f>
        <v>0</v>
      </c>
      <c r="E14" s="18" t="n">
        <f aca="false">C14-D14</f>
        <v>0</v>
      </c>
      <c r="F14" s="17" t="n">
        <f aca="false">SUMIF(Expenses!$E$5:$E$111,A14,Expenses!$D$5:$D$111)</f>
        <v>0</v>
      </c>
      <c r="G14" s="19" t="n">
        <f aca="false">E14-F14</f>
        <v>0</v>
      </c>
      <c r="H14" s="20" t="n">
        <f aca="false">IF(C14=0,0,G14/C14)</f>
        <v>0</v>
      </c>
      <c r="I14" s="17" t="n">
        <f aca="false">MAX(0,G14)*Settings!$B$10</f>
        <v>0</v>
      </c>
    </row>
    <row r="15" customFormat="false" ht="15" hidden="false" customHeight="false" outlineLevel="0" collapsed="false">
      <c r="A15" s="15" t="s">
        <v>44</v>
      </c>
      <c r="B15" s="16" t="n">
        <f aca="false">COUNTIF(Sales!$O$6:$O$265,A15)</f>
        <v>0</v>
      </c>
      <c r="C15" s="17" t="n">
        <f aca="false">SUMIF(Sales!$O$6:$O$265,A15,Sales!$H$6:$H$265)</f>
        <v>0</v>
      </c>
      <c r="D15" s="17" t="n">
        <f aca="false">SUMIF(Sales!$O$6:$O$265,A15,Sales!$I$6:$I$265)+SUMIF(Sales!$O$6:$O$265,A15,Sales!$J$6:$J$265)+SUMIF(Sales!$O$6:$O$265,A15,Sales!$K$6:$K$265)+SUMIF(Sales!$O$6:$O$265,A15,Sales!$M$6:$M$265)</f>
        <v>0</v>
      </c>
      <c r="E15" s="18" t="n">
        <f aca="false">C15-D15</f>
        <v>0</v>
      </c>
      <c r="F15" s="17" t="n">
        <f aca="false">SUMIF(Expenses!$E$5:$E$111,A15,Expenses!$D$5:$D$111)</f>
        <v>0</v>
      </c>
      <c r="G15" s="19" t="n">
        <f aca="false">E15-F15</f>
        <v>0</v>
      </c>
      <c r="H15" s="20" t="n">
        <f aca="false">IF(C15=0,0,G15/C15)</f>
        <v>0</v>
      </c>
      <c r="I15" s="17" t="n">
        <f aca="false">MAX(0,G15)*Settings!$B$10</f>
        <v>0</v>
      </c>
    </row>
    <row r="16" customFormat="false" ht="15" hidden="false" customHeight="false" outlineLevel="0" collapsed="false">
      <c r="A16" s="21" t="s">
        <v>45</v>
      </c>
      <c r="B16" s="22" t="n">
        <f aca="false">SUM(B4:B15)</f>
        <v>60</v>
      </c>
      <c r="C16" s="23" t="n">
        <f aca="false">SUM(C4:C15)</f>
        <v>513</v>
      </c>
      <c r="D16" s="23" t="n">
        <f aca="false">SUM(D4:D15)</f>
        <v>84.1623</v>
      </c>
      <c r="E16" s="23" t="n">
        <f aca="false">SUM(E4:E15)</f>
        <v>428.8377</v>
      </c>
      <c r="F16" s="23" t="n">
        <f aca="false">SUM(F4:F15)</f>
        <v>230</v>
      </c>
      <c r="G16" s="23" t="n">
        <f aca="false">SUM(G4:G15)</f>
        <v>198.8377</v>
      </c>
      <c r="H16" s="24" t="n">
        <f aca="false">IF(C16=0,0,G16/C16)</f>
        <v>0.387597855750487</v>
      </c>
      <c r="I16" s="23" t="n">
        <f aca="false">SUM(I4:I15)</f>
        <v>68.459425</v>
      </c>
    </row>
    <row r="18" customFormat="false" ht="147.75" hidden="false" customHeight="false" outlineLevel="0" collapsed="false">
      <c r="A18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2" t="s">
        <v>49</v>
      </c>
    </row>
    <row r="5" customFormat="false" ht="15" hidden="false" customHeight="false" outlineLevel="0" collapsed="false">
      <c r="A5" s="25" t="s">
        <v>50</v>
      </c>
      <c r="B5" s="26" t="n">
        <v>0.065</v>
      </c>
    </row>
    <row r="6" customFormat="false" ht="15" hidden="false" customHeight="false" outlineLevel="0" collapsed="false">
      <c r="A6" s="25" t="s">
        <v>51</v>
      </c>
      <c r="B6" s="26" t="n">
        <v>0.03</v>
      </c>
    </row>
    <row r="7" customFormat="false" ht="15" hidden="false" customHeight="false" outlineLevel="0" collapsed="false">
      <c r="A7" s="25" t="s">
        <v>52</v>
      </c>
      <c r="B7" s="27" t="n">
        <v>0.25</v>
      </c>
    </row>
    <row r="8" customFormat="false" ht="15" hidden="false" customHeight="false" outlineLevel="0" collapsed="false">
      <c r="A8" s="25" t="s">
        <v>53</v>
      </c>
      <c r="B8" s="27" t="n">
        <v>0.2</v>
      </c>
    </row>
    <row r="9" customFormat="false" ht="15" hidden="false" customHeight="false" outlineLevel="0" collapsed="false">
      <c r="A9" s="25" t="s">
        <v>54</v>
      </c>
      <c r="B9" s="26" t="n">
        <v>0.15</v>
      </c>
    </row>
    <row r="10" customFormat="false" ht="15" hidden="false" customHeight="false" outlineLevel="0" collapsed="false">
      <c r="A10" s="25" t="s">
        <v>55</v>
      </c>
      <c r="B10" s="26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3" min="11" style="0" width="9"/>
    <col collapsed="false" customWidth="true" hidden="false" outlineLevel="0" max="14" min="14" style="0" width="11"/>
    <col collapsed="false" customWidth="true" hidden="false" outlineLevel="0" max="15" min="15" style="0" width="9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2" t="s">
        <v>49</v>
      </c>
    </row>
    <row r="5" customFormat="false" ht="30" hidden="false" customHeight="true" outlineLevel="0" collapsed="false">
      <c r="A5" s="14" t="s">
        <v>58</v>
      </c>
      <c r="B5" s="14" t="s">
        <v>59</v>
      </c>
      <c r="C5" s="14" t="s">
        <v>60</v>
      </c>
      <c r="D5" s="14" t="s">
        <v>61</v>
      </c>
      <c r="E5" s="14" t="s">
        <v>62</v>
      </c>
      <c r="F5" s="14" t="s">
        <v>63</v>
      </c>
      <c r="G5" s="14" t="s">
        <v>64</v>
      </c>
      <c r="H5" s="14" t="s">
        <v>65</v>
      </c>
      <c r="I5" s="14" t="s">
        <v>66</v>
      </c>
      <c r="J5" s="14" t="s">
        <v>67</v>
      </c>
      <c r="K5" s="14" t="s">
        <v>68</v>
      </c>
      <c r="L5" s="14" t="s">
        <v>69</v>
      </c>
      <c r="M5" s="14" t="s">
        <v>70</v>
      </c>
      <c r="N5" s="14" t="s">
        <v>28</v>
      </c>
      <c r="O5" s="14" t="s">
        <v>24</v>
      </c>
    </row>
    <row r="6" customFormat="false" ht="15" hidden="false" customHeight="false" outlineLevel="0" collapsed="false">
      <c r="A6" s="15" t="s">
        <v>71</v>
      </c>
      <c r="B6" s="15" t="s">
        <v>72</v>
      </c>
      <c r="C6" s="15" t="s">
        <v>73</v>
      </c>
      <c r="D6" s="28" t="n">
        <v>1</v>
      </c>
      <c r="E6" s="29" t="n">
        <v>12</v>
      </c>
      <c r="F6" s="29" t="n">
        <v>0</v>
      </c>
      <c r="G6" s="29" t="n">
        <v>0.84</v>
      </c>
      <c r="H6" s="30" t="n">
        <f aca="false">D6*E6+F6</f>
        <v>12</v>
      </c>
      <c r="I6" s="30" t="n">
        <f aca="false">H6*Settings!$B$5</f>
        <v>0.78</v>
      </c>
      <c r="J6" s="30" t="n">
        <f aca="false">(H6+G6)*Settings!$B$6+Settings!$B$7</f>
        <v>0.6352</v>
      </c>
      <c r="K6" s="30" t="n">
        <f aca="false">Settings!$B$8*D6</f>
        <v>0.2</v>
      </c>
      <c r="L6" s="15"/>
      <c r="M6" s="30" t="n">
        <f aca="false">IF(L6="Y",H6*Settings!$B$9,0)</f>
        <v>0</v>
      </c>
      <c r="N6" s="30" t="n">
        <f aca="false">H6-I6-J6-K6-M6</f>
        <v>10.3848</v>
      </c>
      <c r="O6" s="25" t="str">
        <f aca="false">IF(A6="","",LEFT(A6,7))</f>
        <v>2026-07</v>
      </c>
    </row>
    <row r="7" customFormat="false" ht="15" hidden="false" customHeight="false" outlineLevel="0" collapsed="false">
      <c r="A7" s="15" t="s">
        <v>74</v>
      </c>
      <c r="B7" s="15" t="s">
        <v>75</v>
      </c>
      <c r="C7" s="15" t="s">
        <v>76</v>
      </c>
      <c r="D7" s="28" t="n">
        <v>1</v>
      </c>
      <c r="E7" s="29" t="n">
        <v>9</v>
      </c>
      <c r="F7" s="29" t="n">
        <v>0</v>
      </c>
      <c r="G7" s="29" t="n">
        <v>0.63</v>
      </c>
      <c r="H7" s="30" t="n">
        <f aca="false">D7*E7+F7</f>
        <v>9</v>
      </c>
      <c r="I7" s="30" t="n">
        <f aca="false">H7*Settings!$B$5</f>
        <v>0.585</v>
      </c>
      <c r="J7" s="30" t="n">
        <f aca="false">(H7+G7)*Settings!$B$6+Settings!$B$7</f>
        <v>0.5389</v>
      </c>
      <c r="K7" s="30" t="n">
        <f aca="false">Settings!$B$8*D7</f>
        <v>0.2</v>
      </c>
      <c r="L7" s="15" t="s">
        <v>77</v>
      </c>
      <c r="M7" s="30" t="n">
        <f aca="false">IF(L7="Y",H7*Settings!$B$9,0)</f>
        <v>1.35</v>
      </c>
      <c r="N7" s="30" t="n">
        <f aca="false">H7-I7-J7-K7-M7</f>
        <v>6.3261</v>
      </c>
      <c r="O7" s="25" t="str">
        <f aca="false">IF(A7="","",LEFT(A7,7))</f>
        <v>2026-07</v>
      </c>
    </row>
    <row r="8" customFormat="false" ht="15" hidden="false" customHeight="false" outlineLevel="0" collapsed="false">
      <c r="A8" s="15" t="s">
        <v>78</v>
      </c>
      <c r="B8" s="15" t="s">
        <v>79</v>
      </c>
      <c r="C8" s="15" t="s">
        <v>80</v>
      </c>
      <c r="D8" s="28" t="n">
        <v>1</v>
      </c>
      <c r="E8" s="29" t="n">
        <v>8</v>
      </c>
      <c r="F8" s="29" t="n">
        <v>0</v>
      </c>
      <c r="G8" s="29" t="n">
        <v>0.56</v>
      </c>
      <c r="H8" s="30" t="n">
        <f aca="false">D8*E8+F8</f>
        <v>8</v>
      </c>
      <c r="I8" s="30" t="n">
        <f aca="false">H8*Settings!$B$5</f>
        <v>0.52</v>
      </c>
      <c r="J8" s="30" t="n">
        <f aca="false">(H8+G8)*Settings!$B$6+Settings!$B$7</f>
        <v>0.5068</v>
      </c>
      <c r="K8" s="30" t="n">
        <f aca="false">Settings!$B$8*D8</f>
        <v>0.2</v>
      </c>
      <c r="L8" s="15"/>
      <c r="M8" s="30" t="n">
        <f aca="false">IF(L8="Y",H8*Settings!$B$9,0)</f>
        <v>0</v>
      </c>
      <c r="N8" s="30" t="n">
        <f aca="false">H8-I8-J8-K8-M8</f>
        <v>6.7732</v>
      </c>
      <c r="O8" s="25" t="str">
        <f aca="false">IF(A8="","",LEFT(A8,7))</f>
        <v>2026-07</v>
      </c>
    </row>
    <row r="9" customFormat="false" ht="15" hidden="false" customHeight="false" outlineLevel="0" collapsed="false">
      <c r="A9" s="15" t="s">
        <v>81</v>
      </c>
      <c r="B9" s="15" t="s">
        <v>82</v>
      </c>
      <c r="C9" s="15" t="s">
        <v>83</v>
      </c>
      <c r="D9" s="28" t="n">
        <v>1</v>
      </c>
      <c r="E9" s="29" t="n">
        <v>7</v>
      </c>
      <c r="F9" s="29" t="n">
        <v>0</v>
      </c>
      <c r="G9" s="29" t="n">
        <v>0.49</v>
      </c>
      <c r="H9" s="30" t="n">
        <f aca="false">D9*E9+F9</f>
        <v>7</v>
      </c>
      <c r="I9" s="30" t="n">
        <f aca="false">H9*Settings!$B$5</f>
        <v>0.455</v>
      </c>
      <c r="J9" s="30" t="n">
        <f aca="false">(H9+G9)*Settings!$B$6+Settings!$B$7</f>
        <v>0.4747</v>
      </c>
      <c r="K9" s="30" t="n">
        <f aca="false">Settings!$B$8*D9</f>
        <v>0.2</v>
      </c>
      <c r="L9" s="15"/>
      <c r="M9" s="30" t="n">
        <f aca="false">IF(L9="Y",H9*Settings!$B$9,0)</f>
        <v>0</v>
      </c>
      <c r="N9" s="30" t="n">
        <f aca="false">H9-I9-J9-K9-M9</f>
        <v>5.8703</v>
      </c>
      <c r="O9" s="25" t="str">
        <f aca="false">IF(A9="","",LEFT(A9,7))</f>
        <v>2026-07</v>
      </c>
    </row>
    <row r="10" customFormat="false" ht="15" hidden="false" customHeight="false" outlineLevel="0" collapsed="false">
      <c r="A10" s="15" t="s">
        <v>84</v>
      </c>
      <c r="B10" s="15" t="s">
        <v>85</v>
      </c>
      <c r="C10" s="15" t="s">
        <v>80</v>
      </c>
      <c r="D10" s="28" t="n">
        <v>1</v>
      </c>
      <c r="E10" s="29" t="n">
        <v>8</v>
      </c>
      <c r="F10" s="29" t="n">
        <v>0</v>
      </c>
      <c r="G10" s="29" t="n">
        <v>0.56</v>
      </c>
      <c r="H10" s="30" t="n">
        <f aca="false">D10*E10+F10</f>
        <v>8</v>
      </c>
      <c r="I10" s="30" t="n">
        <f aca="false">H10*Settings!$B$5</f>
        <v>0.52</v>
      </c>
      <c r="J10" s="30" t="n">
        <f aca="false">(H10+G10)*Settings!$B$6+Settings!$B$7</f>
        <v>0.5068</v>
      </c>
      <c r="K10" s="30" t="n">
        <f aca="false">Settings!$B$8*D10</f>
        <v>0.2</v>
      </c>
      <c r="L10" s="15"/>
      <c r="M10" s="30" t="n">
        <f aca="false">IF(L10="Y",H10*Settings!$B$9,0)</f>
        <v>0</v>
      </c>
      <c r="N10" s="30" t="n">
        <f aca="false">H10-I10-J10-K10-M10</f>
        <v>6.7732</v>
      </c>
      <c r="O10" s="25" t="str">
        <f aca="false">IF(A10="","",LEFT(A10,7))</f>
        <v>2026-07</v>
      </c>
    </row>
    <row r="11" customFormat="false" ht="15" hidden="false" customHeight="false" outlineLevel="0" collapsed="false">
      <c r="A11" s="15" t="s">
        <v>86</v>
      </c>
      <c r="B11" s="15" t="s">
        <v>87</v>
      </c>
      <c r="C11" s="15" t="s">
        <v>83</v>
      </c>
      <c r="D11" s="28" t="n">
        <v>1</v>
      </c>
      <c r="E11" s="29" t="n">
        <v>7</v>
      </c>
      <c r="F11" s="29" t="n">
        <v>0</v>
      </c>
      <c r="G11" s="29" t="n">
        <v>0.49</v>
      </c>
      <c r="H11" s="30" t="n">
        <f aca="false">D11*E11+F11</f>
        <v>7</v>
      </c>
      <c r="I11" s="30" t="n">
        <f aca="false">H11*Settings!$B$5</f>
        <v>0.455</v>
      </c>
      <c r="J11" s="30" t="n">
        <f aca="false">(H11+G11)*Settings!$B$6+Settings!$B$7</f>
        <v>0.4747</v>
      </c>
      <c r="K11" s="30" t="n">
        <f aca="false">Settings!$B$8*D11</f>
        <v>0.2</v>
      </c>
      <c r="L11" s="15"/>
      <c r="M11" s="30" t="n">
        <f aca="false">IF(L11="Y",H11*Settings!$B$9,0)</f>
        <v>0</v>
      </c>
      <c r="N11" s="30" t="n">
        <f aca="false">H11-I11-J11-K11-M11</f>
        <v>5.8703</v>
      </c>
      <c r="O11" s="25" t="str">
        <f aca="false">IF(A11="","",LEFT(A11,7))</f>
        <v>2026-07</v>
      </c>
    </row>
    <row r="12" customFormat="false" ht="15" hidden="false" customHeight="false" outlineLevel="0" collapsed="false">
      <c r="A12" s="15" t="s">
        <v>86</v>
      </c>
      <c r="B12" s="15" t="s">
        <v>88</v>
      </c>
      <c r="C12" s="15" t="s">
        <v>80</v>
      </c>
      <c r="D12" s="28" t="n">
        <v>1</v>
      </c>
      <c r="E12" s="29" t="n">
        <v>8</v>
      </c>
      <c r="F12" s="29" t="n">
        <v>0</v>
      </c>
      <c r="G12" s="29" t="n">
        <v>0.56</v>
      </c>
      <c r="H12" s="30" t="n">
        <f aca="false">D12*E12+F12</f>
        <v>8</v>
      </c>
      <c r="I12" s="30" t="n">
        <f aca="false">H12*Settings!$B$5</f>
        <v>0.52</v>
      </c>
      <c r="J12" s="30" t="n">
        <f aca="false">(H12+G12)*Settings!$B$6+Settings!$B$7</f>
        <v>0.5068</v>
      </c>
      <c r="K12" s="30" t="n">
        <f aca="false">Settings!$B$8*D12</f>
        <v>0.2</v>
      </c>
      <c r="L12" s="15"/>
      <c r="M12" s="30" t="n">
        <f aca="false">IF(L12="Y",H12*Settings!$B$9,0)</f>
        <v>0</v>
      </c>
      <c r="N12" s="30" t="n">
        <f aca="false">H12-I12-J12-K12-M12</f>
        <v>6.7732</v>
      </c>
      <c r="O12" s="25" t="str">
        <f aca="false">IF(A12="","",LEFT(A12,7))</f>
        <v>2026-07</v>
      </c>
    </row>
    <row r="13" customFormat="false" ht="15" hidden="false" customHeight="false" outlineLevel="0" collapsed="false">
      <c r="A13" s="15" t="s">
        <v>86</v>
      </c>
      <c r="B13" s="15" t="s">
        <v>89</v>
      </c>
      <c r="C13" s="15" t="s">
        <v>80</v>
      </c>
      <c r="D13" s="28" t="n">
        <v>1</v>
      </c>
      <c r="E13" s="29" t="n">
        <v>8</v>
      </c>
      <c r="F13" s="29" t="n">
        <v>0</v>
      </c>
      <c r="G13" s="29" t="n">
        <v>0.56</v>
      </c>
      <c r="H13" s="30" t="n">
        <f aca="false">D13*E13+F13</f>
        <v>8</v>
      </c>
      <c r="I13" s="30" t="n">
        <f aca="false">H13*Settings!$B$5</f>
        <v>0.52</v>
      </c>
      <c r="J13" s="30" t="n">
        <f aca="false">(H13+G13)*Settings!$B$6+Settings!$B$7</f>
        <v>0.5068</v>
      </c>
      <c r="K13" s="30" t="n">
        <f aca="false">Settings!$B$8*D13</f>
        <v>0.2</v>
      </c>
      <c r="L13" s="15"/>
      <c r="M13" s="30" t="n">
        <f aca="false">IF(L13="Y",H13*Settings!$B$9,0)</f>
        <v>0</v>
      </c>
      <c r="N13" s="30" t="n">
        <f aca="false">H13-I13-J13-K13-M13</f>
        <v>6.7732</v>
      </c>
      <c r="O13" s="25" t="str">
        <f aca="false">IF(A13="","",LEFT(A13,7))</f>
        <v>2026-07</v>
      </c>
    </row>
    <row r="14" customFormat="false" ht="15" hidden="false" customHeight="false" outlineLevel="0" collapsed="false">
      <c r="A14" s="15" t="s">
        <v>90</v>
      </c>
      <c r="B14" s="15" t="s">
        <v>91</v>
      </c>
      <c r="C14" s="15" t="s">
        <v>92</v>
      </c>
      <c r="D14" s="28" t="n">
        <v>1</v>
      </c>
      <c r="E14" s="29" t="n">
        <v>8</v>
      </c>
      <c r="F14" s="29" t="n">
        <v>0</v>
      </c>
      <c r="G14" s="29" t="n">
        <v>0.56</v>
      </c>
      <c r="H14" s="30" t="n">
        <f aca="false">D14*E14+F14</f>
        <v>8</v>
      </c>
      <c r="I14" s="30" t="n">
        <f aca="false">H14*Settings!$B$5</f>
        <v>0.52</v>
      </c>
      <c r="J14" s="30" t="n">
        <f aca="false">(H14+G14)*Settings!$B$6+Settings!$B$7</f>
        <v>0.5068</v>
      </c>
      <c r="K14" s="30" t="n">
        <f aca="false">Settings!$B$8*D14</f>
        <v>0.2</v>
      </c>
      <c r="L14" s="15" t="s">
        <v>77</v>
      </c>
      <c r="M14" s="30" t="n">
        <f aca="false">IF(L14="Y",H14*Settings!$B$9,0)</f>
        <v>1.2</v>
      </c>
      <c r="N14" s="30" t="n">
        <f aca="false">H14-I14-J14-K14-M14</f>
        <v>5.5732</v>
      </c>
      <c r="O14" s="25" t="str">
        <f aca="false">IF(A14="","",LEFT(A14,7))</f>
        <v>2026-07</v>
      </c>
    </row>
    <row r="15" customFormat="false" ht="15" hidden="false" customHeight="false" outlineLevel="0" collapsed="false">
      <c r="A15" s="15" t="s">
        <v>90</v>
      </c>
      <c r="B15" s="15" t="s">
        <v>93</v>
      </c>
      <c r="C15" s="15" t="s">
        <v>83</v>
      </c>
      <c r="D15" s="28" t="n">
        <v>1</v>
      </c>
      <c r="E15" s="29" t="n">
        <v>7</v>
      </c>
      <c r="F15" s="29" t="n">
        <v>0</v>
      </c>
      <c r="G15" s="29" t="n">
        <v>0.49</v>
      </c>
      <c r="H15" s="30" t="n">
        <f aca="false">D15*E15+F15</f>
        <v>7</v>
      </c>
      <c r="I15" s="30" t="n">
        <f aca="false">H15*Settings!$B$5</f>
        <v>0.455</v>
      </c>
      <c r="J15" s="30" t="n">
        <f aca="false">(H15+G15)*Settings!$B$6+Settings!$B$7</f>
        <v>0.4747</v>
      </c>
      <c r="K15" s="30" t="n">
        <f aca="false">Settings!$B$8*D15</f>
        <v>0.2</v>
      </c>
      <c r="L15" s="15"/>
      <c r="M15" s="30" t="n">
        <f aca="false">IF(L15="Y",H15*Settings!$B$9,0)</f>
        <v>0</v>
      </c>
      <c r="N15" s="30" t="n">
        <f aca="false">H15-I15-J15-K15-M15</f>
        <v>5.8703</v>
      </c>
      <c r="O15" s="25" t="str">
        <f aca="false">IF(A15="","",LEFT(A15,7))</f>
        <v>2026-07</v>
      </c>
    </row>
    <row r="16" customFormat="false" ht="15" hidden="false" customHeight="false" outlineLevel="0" collapsed="false">
      <c r="A16" s="15" t="s">
        <v>90</v>
      </c>
      <c r="B16" s="15" t="s">
        <v>94</v>
      </c>
      <c r="C16" s="15" t="s">
        <v>80</v>
      </c>
      <c r="D16" s="28" t="n">
        <v>1</v>
      </c>
      <c r="E16" s="29" t="n">
        <v>8</v>
      </c>
      <c r="F16" s="29" t="n">
        <v>0</v>
      </c>
      <c r="G16" s="29" t="n">
        <v>0.56</v>
      </c>
      <c r="H16" s="30" t="n">
        <f aca="false">D16*E16+F16</f>
        <v>8</v>
      </c>
      <c r="I16" s="30" t="n">
        <f aca="false">H16*Settings!$B$5</f>
        <v>0.52</v>
      </c>
      <c r="J16" s="30" t="n">
        <f aca="false">(H16+G16)*Settings!$B$6+Settings!$B$7</f>
        <v>0.5068</v>
      </c>
      <c r="K16" s="30" t="n">
        <f aca="false">Settings!$B$8*D16</f>
        <v>0.2</v>
      </c>
      <c r="L16" s="15"/>
      <c r="M16" s="30" t="n">
        <f aca="false">IF(L16="Y",H16*Settings!$B$9,0)</f>
        <v>0</v>
      </c>
      <c r="N16" s="30" t="n">
        <f aca="false">H16-I16-J16-K16-M16</f>
        <v>6.7732</v>
      </c>
      <c r="O16" s="25" t="str">
        <f aca="false">IF(A16="","",LEFT(A16,7))</f>
        <v>2026-07</v>
      </c>
    </row>
    <row r="17" customFormat="false" ht="15" hidden="false" customHeight="false" outlineLevel="0" collapsed="false">
      <c r="A17" s="15" t="s">
        <v>90</v>
      </c>
      <c r="B17" s="15" t="s">
        <v>95</v>
      </c>
      <c r="C17" s="15" t="s">
        <v>73</v>
      </c>
      <c r="D17" s="28" t="n">
        <v>1</v>
      </c>
      <c r="E17" s="29" t="n">
        <v>12</v>
      </c>
      <c r="F17" s="29" t="n">
        <v>0</v>
      </c>
      <c r="G17" s="29" t="n">
        <v>0.84</v>
      </c>
      <c r="H17" s="30" t="n">
        <f aca="false">D17*E17+F17</f>
        <v>12</v>
      </c>
      <c r="I17" s="30" t="n">
        <f aca="false">H17*Settings!$B$5</f>
        <v>0.78</v>
      </c>
      <c r="J17" s="30" t="n">
        <f aca="false">(H17+G17)*Settings!$B$6+Settings!$B$7</f>
        <v>0.6352</v>
      </c>
      <c r="K17" s="30" t="n">
        <f aca="false">Settings!$B$8*D17</f>
        <v>0.2</v>
      </c>
      <c r="L17" s="15"/>
      <c r="M17" s="30" t="n">
        <f aca="false">IF(L17="Y",H17*Settings!$B$9,0)</f>
        <v>0</v>
      </c>
      <c r="N17" s="30" t="n">
        <f aca="false">H17-I17-J17-K17-M17</f>
        <v>10.3848</v>
      </c>
      <c r="O17" s="25" t="str">
        <f aca="false">IF(A17="","",LEFT(A17,7))</f>
        <v>2026-07</v>
      </c>
    </row>
    <row r="18" customFormat="false" ht="15" hidden="false" customHeight="false" outlineLevel="0" collapsed="false">
      <c r="A18" s="15" t="s">
        <v>90</v>
      </c>
      <c r="B18" s="15" t="s">
        <v>96</v>
      </c>
      <c r="C18" s="15" t="s">
        <v>83</v>
      </c>
      <c r="D18" s="28" t="n">
        <v>1</v>
      </c>
      <c r="E18" s="29" t="n">
        <v>7</v>
      </c>
      <c r="F18" s="29" t="n">
        <v>0</v>
      </c>
      <c r="G18" s="29" t="n">
        <v>0.49</v>
      </c>
      <c r="H18" s="30" t="n">
        <f aca="false">D18*E18+F18</f>
        <v>7</v>
      </c>
      <c r="I18" s="30" t="n">
        <f aca="false">H18*Settings!$B$5</f>
        <v>0.455</v>
      </c>
      <c r="J18" s="30" t="n">
        <f aca="false">(H18+G18)*Settings!$B$6+Settings!$B$7</f>
        <v>0.4747</v>
      </c>
      <c r="K18" s="30" t="n">
        <f aca="false">Settings!$B$8*D18</f>
        <v>0.2</v>
      </c>
      <c r="L18" s="15" t="s">
        <v>77</v>
      </c>
      <c r="M18" s="30" t="n">
        <f aca="false">IF(L18="Y",H18*Settings!$B$9,0)</f>
        <v>1.05</v>
      </c>
      <c r="N18" s="30" t="n">
        <f aca="false">H18-I18-J18-K18-M18</f>
        <v>4.8203</v>
      </c>
      <c r="O18" s="25" t="str">
        <f aca="false">IF(A18="","",LEFT(A18,7))</f>
        <v>2026-07</v>
      </c>
    </row>
    <row r="19" customFormat="false" ht="15" hidden="false" customHeight="false" outlineLevel="0" collapsed="false">
      <c r="A19" s="15" t="s">
        <v>97</v>
      </c>
      <c r="B19" s="15" t="s">
        <v>98</v>
      </c>
      <c r="C19" s="15" t="s">
        <v>80</v>
      </c>
      <c r="D19" s="28" t="n">
        <v>1</v>
      </c>
      <c r="E19" s="29" t="n">
        <v>8</v>
      </c>
      <c r="F19" s="29" t="n">
        <v>0</v>
      </c>
      <c r="G19" s="29" t="n">
        <v>0.56</v>
      </c>
      <c r="H19" s="30" t="n">
        <f aca="false">D19*E19+F19</f>
        <v>8</v>
      </c>
      <c r="I19" s="30" t="n">
        <f aca="false">H19*Settings!$B$5</f>
        <v>0.52</v>
      </c>
      <c r="J19" s="30" t="n">
        <f aca="false">(H19+G19)*Settings!$B$6+Settings!$B$7</f>
        <v>0.5068</v>
      </c>
      <c r="K19" s="30" t="n">
        <f aca="false">Settings!$B$8*D19</f>
        <v>0.2</v>
      </c>
      <c r="L19" s="15"/>
      <c r="M19" s="30" t="n">
        <f aca="false">IF(L19="Y",H19*Settings!$B$9,0)</f>
        <v>0</v>
      </c>
      <c r="N19" s="30" t="n">
        <f aca="false">H19-I19-J19-K19-M19</f>
        <v>6.7732</v>
      </c>
      <c r="O19" s="25" t="str">
        <f aca="false">IF(A19="","",LEFT(A19,7))</f>
        <v>2026-07</v>
      </c>
    </row>
    <row r="20" customFormat="false" ht="15" hidden="false" customHeight="false" outlineLevel="0" collapsed="false">
      <c r="A20" s="15" t="s">
        <v>99</v>
      </c>
      <c r="B20" s="15" t="s">
        <v>100</v>
      </c>
      <c r="C20" s="15" t="s">
        <v>76</v>
      </c>
      <c r="D20" s="28" t="n">
        <v>1</v>
      </c>
      <c r="E20" s="29" t="n">
        <v>9</v>
      </c>
      <c r="F20" s="29" t="n">
        <v>0</v>
      </c>
      <c r="G20" s="29" t="n">
        <v>0.63</v>
      </c>
      <c r="H20" s="30" t="n">
        <f aca="false">D20*E20+F20</f>
        <v>9</v>
      </c>
      <c r="I20" s="30" t="n">
        <f aca="false">H20*Settings!$B$5</f>
        <v>0.585</v>
      </c>
      <c r="J20" s="30" t="n">
        <f aca="false">(H20+G20)*Settings!$B$6+Settings!$B$7</f>
        <v>0.5389</v>
      </c>
      <c r="K20" s="30" t="n">
        <f aca="false">Settings!$B$8*D20</f>
        <v>0.2</v>
      </c>
      <c r="L20" s="15"/>
      <c r="M20" s="30" t="n">
        <f aca="false">IF(L20="Y",H20*Settings!$B$9,0)</f>
        <v>0</v>
      </c>
      <c r="N20" s="30" t="n">
        <f aca="false">H20-I20-J20-K20-M20</f>
        <v>7.6761</v>
      </c>
      <c r="O20" s="25" t="str">
        <f aca="false">IF(A20="","",LEFT(A20,7))</f>
        <v>2026-07</v>
      </c>
    </row>
    <row r="21" customFormat="false" ht="15" hidden="false" customHeight="false" outlineLevel="0" collapsed="false">
      <c r="A21" s="15" t="s">
        <v>101</v>
      </c>
      <c r="B21" s="15" t="s">
        <v>102</v>
      </c>
      <c r="C21" s="15" t="s">
        <v>80</v>
      </c>
      <c r="D21" s="28" t="n">
        <v>1</v>
      </c>
      <c r="E21" s="29" t="n">
        <v>8</v>
      </c>
      <c r="F21" s="29" t="n">
        <v>0</v>
      </c>
      <c r="G21" s="29" t="n">
        <v>0.56</v>
      </c>
      <c r="H21" s="30" t="n">
        <f aca="false">D21*E21+F21</f>
        <v>8</v>
      </c>
      <c r="I21" s="30" t="n">
        <f aca="false">H21*Settings!$B$5</f>
        <v>0.52</v>
      </c>
      <c r="J21" s="30" t="n">
        <f aca="false">(H21+G21)*Settings!$B$6+Settings!$B$7</f>
        <v>0.5068</v>
      </c>
      <c r="K21" s="30" t="n">
        <f aca="false">Settings!$B$8*D21</f>
        <v>0.2</v>
      </c>
      <c r="L21" s="15"/>
      <c r="M21" s="30" t="n">
        <f aca="false">IF(L21="Y",H21*Settings!$B$9,0)</f>
        <v>0</v>
      </c>
      <c r="N21" s="30" t="n">
        <f aca="false">H21-I21-J21-K21-M21</f>
        <v>6.7732</v>
      </c>
      <c r="O21" s="25" t="str">
        <f aca="false">IF(A21="","",LEFT(A21,7))</f>
        <v>2026-07</v>
      </c>
    </row>
    <row r="22" customFormat="false" ht="15" hidden="false" customHeight="false" outlineLevel="0" collapsed="false">
      <c r="A22" s="15" t="s">
        <v>101</v>
      </c>
      <c r="B22" s="15" t="s">
        <v>103</v>
      </c>
      <c r="C22" s="15" t="s">
        <v>83</v>
      </c>
      <c r="D22" s="28" t="n">
        <v>1</v>
      </c>
      <c r="E22" s="29" t="n">
        <v>7</v>
      </c>
      <c r="F22" s="29" t="n">
        <v>0</v>
      </c>
      <c r="G22" s="29" t="n">
        <v>0.49</v>
      </c>
      <c r="H22" s="30" t="n">
        <f aca="false">D22*E22+F22</f>
        <v>7</v>
      </c>
      <c r="I22" s="30" t="n">
        <f aca="false">H22*Settings!$B$5</f>
        <v>0.455</v>
      </c>
      <c r="J22" s="30" t="n">
        <f aca="false">(H22+G22)*Settings!$B$6+Settings!$B$7</f>
        <v>0.4747</v>
      </c>
      <c r="K22" s="30" t="n">
        <f aca="false">Settings!$B$8*D22</f>
        <v>0.2</v>
      </c>
      <c r="L22" s="15"/>
      <c r="M22" s="30" t="n">
        <f aca="false">IF(L22="Y",H22*Settings!$B$9,0)</f>
        <v>0</v>
      </c>
      <c r="N22" s="30" t="n">
        <f aca="false">H22-I22-J22-K22-M22</f>
        <v>5.8703</v>
      </c>
      <c r="O22" s="25" t="str">
        <f aca="false">IF(A22="","",LEFT(A22,7))</f>
        <v>2026-07</v>
      </c>
    </row>
    <row r="23" customFormat="false" ht="15" hidden="false" customHeight="false" outlineLevel="0" collapsed="false">
      <c r="A23" s="15" t="s">
        <v>101</v>
      </c>
      <c r="B23" s="15" t="s">
        <v>104</v>
      </c>
      <c r="C23" s="15" t="s">
        <v>76</v>
      </c>
      <c r="D23" s="28" t="n">
        <v>1</v>
      </c>
      <c r="E23" s="29" t="n">
        <v>9</v>
      </c>
      <c r="F23" s="29" t="n">
        <v>0</v>
      </c>
      <c r="G23" s="29" t="n">
        <v>0.63</v>
      </c>
      <c r="H23" s="30" t="n">
        <f aca="false">D23*E23+F23</f>
        <v>9</v>
      </c>
      <c r="I23" s="30" t="n">
        <f aca="false">H23*Settings!$B$5</f>
        <v>0.585</v>
      </c>
      <c r="J23" s="30" t="n">
        <f aca="false">(H23+G23)*Settings!$B$6+Settings!$B$7</f>
        <v>0.5389</v>
      </c>
      <c r="K23" s="30" t="n">
        <f aca="false">Settings!$B$8*D23</f>
        <v>0.2</v>
      </c>
      <c r="L23" s="15"/>
      <c r="M23" s="30" t="n">
        <f aca="false">IF(L23="Y",H23*Settings!$B$9,0)</f>
        <v>0</v>
      </c>
      <c r="N23" s="30" t="n">
        <f aca="false">H23-I23-J23-K23-M23</f>
        <v>7.6761</v>
      </c>
      <c r="O23" s="25" t="str">
        <f aca="false">IF(A23="","",LEFT(A23,7))</f>
        <v>2026-07</v>
      </c>
    </row>
    <row r="24" customFormat="false" ht="15" hidden="false" customHeight="false" outlineLevel="0" collapsed="false">
      <c r="A24" s="15" t="s">
        <v>105</v>
      </c>
      <c r="B24" s="15" t="s">
        <v>106</v>
      </c>
      <c r="C24" s="15" t="s">
        <v>92</v>
      </c>
      <c r="D24" s="28" t="n">
        <v>1</v>
      </c>
      <c r="E24" s="29" t="n">
        <v>8</v>
      </c>
      <c r="F24" s="29" t="n">
        <v>0</v>
      </c>
      <c r="G24" s="29" t="n">
        <v>0.56</v>
      </c>
      <c r="H24" s="30" t="n">
        <f aca="false">D24*E24+F24</f>
        <v>8</v>
      </c>
      <c r="I24" s="30" t="n">
        <f aca="false">H24*Settings!$B$5</f>
        <v>0.52</v>
      </c>
      <c r="J24" s="30" t="n">
        <f aca="false">(H24+G24)*Settings!$B$6+Settings!$B$7</f>
        <v>0.5068</v>
      </c>
      <c r="K24" s="30" t="n">
        <f aca="false">Settings!$B$8*D24</f>
        <v>0.2</v>
      </c>
      <c r="L24" s="15"/>
      <c r="M24" s="30" t="n">
        <f aca="false">IF(L24="Y",H24*Settings!$B$9,0)</f>
        <v>0</v>
      </c>
      <c r="N24" s="30" t="n">
        <f aca="false">H24-I24-J24-K24-M24</f>
        <v>6.7732</v>
      </c>
      <c r="O24" s="25" t="str">
        <f aca="false">IF(A24="","",LEFT(A24,7))</f>
        <v>2026-07</v>
      </c>
    </row>
    <row r="25" customFormat="false" ht="15" hidden="false" customHeight="false" outlineLevel="0" collapsed="false">
      <c r="A25" s="15" t="s">
        <v>107</v>
      </c>
      <c r="B25" s="15" t="s">
        <v>108</v>
      </c>
      <c r="C25" s="15" t="s">
        <v>92</v>
      </c>
      <c r="D25" s="28" t="n">
        <v>1</v>
      </c>
      <c r="E25" s="29" t="n">
        <v>8</v>
      </c>
      <c r="F25" s="29" t="n">
        <v>0</v>
      </c>
      <c r="G25" s="29" t="n">
        <v>0.56</v>
      </c>
      <c r="H25" s="30" t="n">
        <f aca="false">D25*E25+F25</f>
        <v>8</v>
      </c>
      <c r="I25" s="30" t="n">
        <f aca="false">H25*Settings!$B$5</f>
        <v>0.52</v>
      </c>
      <c r="J25" s="30" t="n">
        <f aca="false">(H25+G25)*Settings!$B$6+Settings!$B$7</f>
        <v>0.5068</v>
      </c>
      <c r="K25" s="30" t="n">
        <f aca="false">Settings!$B$8*D25</f>
        <v>0.2</v>
      </c>
      <c r="L25" s="15"/>
      <c r="M25" s="30" t="n">
        <f aca="false">IF(L25="Y",H25*Settings!$B$9,0)</f>
        <v>0</v>
      </c>
      <c r="N25" s="30" t="n">
        <f aca="false">H25-I25-J25-K25-M25</f>
        <v>6.7732</v>
      </c>
      <c r="O25" s="25" t="str">
        <f aca="false">IF(A25="","",LEFT(A25,7))</f>
        <v>2026-07</v>
      </c>
    </row>
    <row r="26" customFormat="false" ht="15" hidden="false" customHeight="false" outlineLevel="0" collapsed="false">
      <c r="A26" s="15" t="s">
        <v>107</v>
      </c>
      <c r="B26" s="15" t="s">
        <v>109</v>
      </c>
      <c r="C26" s="15" t="s">
        <v>83</v>
      </c>
      <c r="D26" s="28" t="n">
        <v>1</v>
      </c>
      <c r="E26" s="29" t="n">
        <v>7</v>
      </c>
      <c r="F26" s="29" t="n">
        <v>0</v>
      </c>
      <c r="G26" s="29" t="n">
        <v>0.49</v>
      </c>
      <c r="H26" s="30" t="n">
        <f aca="false">D26*E26+F26</f>
        <v>7</v>
      </c>
      <c r="I26" s="30" t="n">
        <f aca="false">H26*Settings!$B$5</f>
        <v>0.455</v>
      </c>
      <c r="J26" s="30" t="n">
        <f aca="false">(H26+G26)*Settings!$B$6+Settings!$B$7</f>
        <v>0.4747</v>
      </c>
      <c r="K26" s="30" t="n">
        <f aca="false">Settings!$B$8*D26</f>
        <v>0.2</v>
      </c>
      <c r="L26" s="15"/>
      <c r="M26" s="30" t="n">
        <f aca="false">IF(L26="Y",H26*Settings!$B$9,0)</f>
        <v>0</v>
      </c>
      <c r="N26" s="30" t="n">
        <f aca="false">H26-I26-J26-K26-M26</f>
        <v>5.8703</v>
      </c>
      <c r="O26" s="25" t="str">
        <f aca="false">IF(A26="","",LEFT(A26,7))</f>
        <v>2026-07</v>
      </c>
    </row>
    <row r="27" customFormat="false" ht="15" hidden="false" customHeight="false" outlineLevel="0" collapsed="false">
      <c r="A27" s="15" t="s">
        <v>110</v>
      </c>
      <c r="B27" s="15" t="s">
        <v>111</v>
      </c>
      <c r="C27" s="15" t="s">
        <v>76</v>
      </c>
      <c r="D27" s="28" t="n">
        <v>1</v>
      </c>
      <c r="E27" s="29" t="n">
        <v>9</v>
      </c>
      <c r="F27" s="29" t="n">
        <v>0</v>
      </c>
      <c r="G27" s="29" t="n">
        <v>0.63</v>
      </c>
      <c r="H27" s="30" t="n">
        <f aca="false">D27*E27+F27</f>
        <v>9</v>
      </c>
      <c r="I27" s="30" t="n">
        <f aca="false">H27*Settings!$B$5</f>
        <v>0.585</v>
      </c>
      <c r="J27" s="30" t="n">
        <f aca="false">(H27+G27)*Settings!$B$6+Settings!$B$7</f>
        <v>0.5389</v>
      </c>
      <c r="K27" s="30" t="n">
        <f aca="false">Settings!$B$8*D27</f>
        <v>0.2</v>
      </c>
      <c r="L27" s="15" t="s">
        <v>77</v>
      </c>
      <c r="M27" s="30" t="n">
        <f aca="false">IF(L27="Y",H27*Settings!$B$9,0)</f>
        <v>1.35</v>
      </c>
      <c r="N27" s="30" t="n">
        <f aca="false">H27-I27-J27-K27-M27</f>
        <v>6.3261</v>
      </c>
      <c r="O27" s="25" t="str">
        <f aca="false">IF(A27="","",LEFT(A27,7))</f>
        <v>2026-07</v>
      </c>
    </row>
    <row r="28" customFormat="false" ht="15" hidden="false" customHeight="false" outlineLevel="0" collapsed="false">
      <c r="A28" s="15" t="s">
        <v>112</v>
      </c>
      <c r="B28" s="15" t="s">
        <v>113</v>
      </c>
      <c r="C28" s="15" t="s">
        <v>83</v>
      </c>
      <c r="D28" s="28" t="n">
        <v>1</v>
      </c>
      <c r="E28" s="29" t="n">
        <v>7</v>
      </c>
      <c r="F28" s="29" t="n">
        <v>0</v>
      </c>
      <c r="G28" s="29" t="n">
        <v>0.49</v>
      </c>
      <c r="H28" s="30" t="n">
        <f aca="false">D28*E28+F28</f>
        <v>7</v>
      </c>
      <c r="I28" s="30" t="n">
        <f aca="false">H28*Settings!$B$5</f>
        <v>0.455</v>
      </c>
      <c r="J28" s="30" t="n">
        <f aca="false">(H28+G28)*Settings!$B$6+Settings!$B$7</f>
        <v>0.4747</v>
      </c>
      <c r="K28" s="30" t="n">
        <f aca="false">Settings!$B$8*D28</f>
        <v>0.2</v>
      </c>
      <c r="L28" s="15"/>
      <c r="M28" s="30" t="n">
        <f aca="false">IF(L28="Y",H28*Settings!$B$9,0)</f>
        <v>0</v>
      </c>
      <c r="N28" s="30" t="n">
        <f aca="false">H28-I28-J28-K28-M28</f>
        <v>5.8703</v>
      </c>
      <c r="O28" s="25" t="str">
        <f aca="false">IF(A28="","",LEFT(A28,7))</f>
        <v>2026-07</v>
      </c>
    </row>
    <row r="29" customFormat="false" ht="15" hidden="false" customHeight="false" outlineLevel="0" collapsed="false">
      <c r="A29" s="15" t="s">
        <v>114</v>
      </c>
      <c r="B29" s="15" t="s">
        <v>115</v>
      </c>
      <c r="C29" s="15" t="s">
        <v>76</v>
      </c>
      <c r="D29" s="28" t="n">
        <v>1</v>
      </c>
      <c r="E29" s="29" t="n">
        <v>9</v>
      </c>
      <c r="F29" s="29" t="n">
        <v>0</v>
      </c>
      <c r="G29" s="29" t="n">
        <v>0.63</v>
      </c>
      <c r="H29" s="30" t="n">
        <f aca="false">D29*E29+F29</f>
        <v>9</v>
      </c>
      <c r="I29" s="30" t="n">
        <f aca="false">H29*Settings!$B$5</f>
        <v>0.585</v>
      </c>
      <c r="J29" s="30" t="n">
        <f aca="false">(H29+G29)*Settings!$B$6+Settings!$B$7</f>
        <v>0.5389</v>
      </c>
      <c r="K29" s="30" t="n">
        <f aca="false">Settings!$B$8*D29</f>
        <v>0.2</v>
      </c>
      <c r="L29" s="15"/>
      <c r="M29" s="30" t="n">
        <f aca="false">IF(L29="Y",H29*Settings!$B$9,0)</f>
        <v>0</v>
      </c>
      <c r="N29" s="30" t="n">
        <f aca="false">H29-I29-J29-K29-M29</f>
        <v>7.6761</v>
      </c>
      <c r="O29" s="25" t="str">
        <f aca="false">IF(A29="","",LEFT(A29,7))</f>
        <v>2026-07</v>
      </c>
    </row>
    <row r="30" customFormat="false" ht="15" hidden="false" customHeight="false" outlineLevel="0" collapsed="false">
      <c r="A30" s="15" t="s">
        <v>114</v>
      </c>
      <c r="B30" s="15" t="s">
        <v>116</v>
      </c>
      <c r="C30" s="15" t="s">
        <v>83</v>
      </c>
      <c r="D30" s="28" t="n">
        <v>1</v>
      </c>
      <c r="E30" s="29" t="n">
        <v>7</v>
      </c>
      <c r="F30" s="29" t="n">
        <v>0</v>
      </c>
      <c r="G30" s="29" t="n">
        <v>0.49</v>
      </c>
      <c r="H30" s="30" t="n">
        <f aca="false">D30*E30+F30</f>
        <v>7</v>
      </c>
      <c r="I30" s="30" t="n">
        <f aca="false">H30*Settings!$B$5</f>
        <v>0.455</v>
      </c>
      <c r="J30" s="30" t="n">
        <f aca="false">(H30+G30)*Settings!$B$6+Settings!$B$7</f>
        <v>0.4747</v>
      </c>
      <c r="K30" s="30" t="n">
        <f aca="false">Settings!$B$8*D30</f>
        <v>0.2</v>
      </c>
      <c r="L30" s="15"/>
      <c r="M30" s="30" t="n">
        <f aca="false">IF(L30="Y",H30*Settings!$B$9,0)</f>
        <v>0</v>
      </c>
      <c r="N30" s="30" t="n">
        <f aca="false">H30-I30-J30-K30-M30</f>
        <v>5.8703</v>
      </c>
      <c r="O30" s="25" t="str">
        <f aca="false">IF(A30="","",LEFT(A30,7))</f>
        <v>2026-07</v>
      </c>
    </row>
    <row r="31" customFormat="false" ht="15" hidden="false" customHeight="false" outlineLevel="0" collapsed="false">
      <c r="A31" s="15" t="s">
        <v>117</v>
      </c>
      <c r="B31" s="15" t="s">
        <v>118</v>
      </c>
      <c r="C31" s="15" t="s">
        <v>92</v>
      </c>
      <c r="D31" s="28" t="n">
        <v>1</v>
      </c>
      <c r="E31" s="29" t="n">
        <v>8</v>
      </c>
      <c r="F31" s="29" t="n">
        <v>0</v>
      </c>
      <c r="G31" s="29" t="n">
        <v>0.56</v>
      </c>
      <c r="H31" s="30" t="n">
        <f aca="false">D31*E31+F31</f>
        <v>8</v>
      </c>
      <c r="I31" s="30" t="n">
        <f aca="false">H31*Settings!$B$5</f>
        <v>0.52</v>
      </c>
      <c r="J31" s="30" t="n">
        <f aca="false">(H31+G31)*Settings!$B$6+Settings!$B$7</f>
        <v>0.5068</v>
      </c>
      <c r="K31" s="30" t="n">
        <f aca="false">Settings!$B$8*D31</f>
        <v>0.2</v>
      </c>
      <c r="L31" s="15"/>
      <c r="M31" s="30" t="n">
        <f aca="false">IF(L31="Y",H31*Settings!$B$9,0)</f>
        <v>0</v>
      </c>
      <c r="N31" s="30" t="n">
        <f aca="false">H31-I31-J31-K31-M31</f>
        <v>6.7732</v>
      </c>
      <c r="O31" s="25" t="str">
        <f aca="false">IF(A31="","",LEFT(A31,7))</f>
        <v>2026-07</v>
      </c>
    </row>
    <row r="32" customFormat="false" ht="15" hidden="false" customHeight="false" outlineLevel="0" collapsed="false">
      <c r="A32" s="15" t="s">
        <v>119</v>
      </c>
      <c r="B32" s="15" t="s">
        <v>120</v>
      </c>
      <c r="C32" s="15" t="s">
        <v>83</v>
      </c>
      <c r="D32" s="28" t="n">
        <v>1</v>
      </c>
      <c r="E32" s="29" t="n">
        <v>7</v>
      </c>
      <c r="F32" s="29" t="n">
        <v>0</v>
      </c>
      <c r="G32" s="29" t="n">
        <v>0.49</v>
      </c>
      <c r="H32" s="30" t="n">
        <f aca="false">D32*E32+F32</f>
        <v>7</v>
      </c>
      <c r="I32" s="30" t="n">
        <f aca="false">H32*Settings!$B$5</f>
        <v>0.455</v>
      </c>
      <c r="J32" s="30" t="n">
        <f aca="false">(H32+G32)*Settings!$B$6+Settings!$B$7</f>
        <v>0.4747</v>
      </c>
      <c r="K32" s="30" t="n">
        <f aca="false">Settings!$B$8*D32</f>
        <v>0.2</v>
      </c>
      <c r="L32" s="15"/>
      <c r="M32" s="30" t="n">
        <f aca="false">IF(L32="Y",H32*Settings!$B$9,0)</f>
        <v>0</v>
      </c>
      <c r="N32" s="30" t="n">
        <f aca="false">H32-I32-J32-K32-M32</f>
        <v>5.8703</v>
      </c>
      <c r="O32" s="25" t="str">
        <f aca="false">IF(A32="","",LEFT(A32,7))</f>
        <v>2026-07</v>
      </c>
    </row>
    <row r="33" customFormat="false" ht="15" hidden="false" customHeight="false" outlineLevel="0" collapsed="false">
      <c r="A33" s="15" t="s">
        <v>119</v>
      </c>
      <c r="B33" s="15" t="s">
        <v>121</v>
      </c>
      <c r="C33" s="15" t="s">
        <v>73</v>
      </c>
      <c r="D33" s="28" t="n">
        <v>1</v>
      </c>
      <c r="E33" s="29" t="n">
        <v>12</v>
      </c>
      <c r="F33" s="29" t="n">
        <v>0</v>
      </c>
      <c r="G33" s="29" t="n">
        <v>0.84</v>
      </c>
      <c r="H33" s="30" t="n">
        <f aca="false">D33*E33+F33</f>
        <v>12</v>
      </c>
      <c r="I33" s="30" t="n">
        <f aca="false">H33*Settings!$B$5</f>
        <v>0.78</v>
      </c>
      <c r="J33" s="30" t="n">
        <f aca="false">(H33+G33)*Settings!$B$6+Settings!$B$7</f>
        <v>0.6352</v>
      </c>
      <c r="K33" s="30" t="n">
        <f aca="false">Settings!$B$8*D33</f>
        <v>0.2</v>
      </c>
      <c r="L33" s="15"/>
      <c r="M33" s="30" t="n">
        <f aca="false">IF(L33="Y",H33*Settings!$B$9,0)</f>
        <v>0</v>
      </c>
      <c r="N33" s="30" t="n">
        <f aca="false">H33-I33-J33-K33-M33</f>
        <v>10.3848</v>
      </c>
      <c r="O33" s="25" t="str">
        <f aca="false">IF(A33="","",LEFT(A33,7))</f>
        <v>2026-07</v>
      </c>
    </row>
    <row r="34" customFormat="false" ht="15" hidden="false" customHeight="false" outlineLevel="0" collapsed="false">
      <c r="A34" s="15" t="s">
        <v>122</v>
      </c>
      <c r="B34" s="15" t="s">
        <v>123</v>
      </c>
      <c r="C34" s="15" t="s">
        <v>73</v>
      </c>
      <c r="D34" s="28" t="n">
        <v>1</v>
      </c>
      <c r="E34" s="29" t="n">
        <v>12</v>
      </c>
      <c r="F34" s="29" t="n">
        <v>0</v>
      </c>
      <c r="G34" s="29" t="n">
        <v>0.84</v>
      </c>
      <c r="H34" s="30" t="n">
        <f aca="false">D34*E34+F34</f>
        <v>12</v>
      </c>
      <c r="I34" s="30" t="n">
        <f aca="false">H34*Settings!$B$5</f>
        <v>0.78</v>
      </c>
      <c r="J34" s="30" t="n">
        <f aca="false">(H34+G34)*Settings!$B$6+Settings!$B$7</f>
        <v>0.6352</v>
      </c>
      <c r="K34" s="30" t="n">
        <f aca="false">Settings!$B$8*D34</f>
        <v>0.2</v>
      </c>
      <c r="L34" s="15"/>
      <c r="M34" s="30" t="n">
        <f aca="false">IF(L34="Y",H34*Settings!$B$9,0)</f>
        <v>0</v>
      </c>
      <c r="N34" s="30" t="n">
        <f aca="false">H34-I34-J34-K34-M34</f>
        <v>10.3848</v>
      </c>
      <c r="O34" s="25" t="str">
        <f aca="false">IF(A34="","",LEFT(A34,7))</f>
        <v>2026-07</v>
      </c>
    </row>
    <row r="35" customFormat="false" ht="15" hidden="false" customHeight="false" outlineLevel="0" collapsed="false">
      <c r="A35" s="15" t="s">
        <v>124</v>
      </c>
      <c r="B35" s="15" t="s">
        <v>125</v>
      </c>
      <c r="C35" s="15" t="s">
        <v>73</v>
      </c>
      <c r="D35" s="28" t="n">
        <v>1</v>
      </c>
      <c r="E35" s="29" t="n">
        <v>12</v>
      </c>
      <c r="F35" s="29" t="n">
        <v>0</v>
      </c>
      <c r="G35" s="29" t="n">
        <v>0.84</v>
      </c>
      <c r="H35" s="30" t="n">
        <f aca="false">D35*E35+F35</f>
        <v>12</v>
      </c>
      <c r="I35" s="30" t="n">
        <f aca="false">H35*Settings!$B$5</f>
        <v>0.78</v>
      </c>
      <c r="J35" s="30" t="n">
        <f aca="false">(H35+G35)*Settings!$B$6+Settings!$B$7</f>
        <v>0.6352</v>
      </c>
      <c r="K35" s="30" t="n">
        <f aca="false">Settings!$B$8*D35</f>
        <v>0.2</v>
      </c>
      <c r="L35" s="15"/>
      <c r="M35" s="30" t="n">
        <f aca="false">IF(L35="Y",H35*Settings!$B$9,0)</f>
        <v>0</v>
      </c>
      <c r="N35" s="30" t="n">
        <f aca="false">H35-I35-J35-K35-M35</f>
        <v>10.3848</v>
      </c>
      <c r="O35" s="25" t="str">
        <f aca="false">IF(A35="","",LEFT(A35,7))</f>
        <v>2026-07</v>
      </c>
    </row>
    <row r="36" customFormat="false" ht="15" hidden="false" customHeight="false" outlineLevel="0" collapsed="false">
      <c r="A36" s="15" t="s">
        <v>126</v>
      </c>
      <c r="B36" s="15" t="s">
        <v>127</v>
      </c>
      <c r="C36" s="15" t="s">
        <v>80</v>
      </c>
      <c r="D36" s="28" t="n">
        <v>1</v>
      </c>
      <c r="E36" s="29" t="n">
        <v>8</v>
      </c>
      <c r="F36" s="29" t="n">
        <v>0</v>
      </c>
      <c r="G36" s="29" t="n">
        <v>0.56</v>
      </c>
      <c r="H36" s="30" t="n">
        <f aca="false">D36*E36+F36</f>
        <v>8</v>
      </c>
      <c r="I36" s="30" t="n">
        <f aca="false">H36*Settings!$B$5</f>
        <v>0.52</v>
      </c>
      <c r="J36" s="30" t="n">
        <f aca="false">(H36+G36)*Settings!$B$6+Settings!$B$7</f>
        <v>0.5068</v>
      </c>
      <c r="K36" s="30" t="n">
        <f aca="false">Settings!$B$8*D36</f>
        <v>0.2</v>
      </c>
      <c r="L36" s="15"/>
      <c r="M36" s="30" t="n">
        <f aca="false">IF(L36="Y",H36*Settings!$B$9,0)</f>
        <v>0</v>
      </c>
      <c r="N36" s="30" t="n">
        <f aca="false">H36-I36-J36-K36-M36</f>
        <v>6.7732</v>
      </c>
      <c r="O36" s="25" t="str">
        <f aca="false">IF(A36="","",LEFT(A36,7))</f>
        <v>2026-07</v>
      </c>
    </row>
    <row r="37" customFormat="false" ht="15" hidden="false" customHeight="false" outlineLevel="0" collapsed="false">
      <c r="A37" s="15" t="s">
        <v>128</v>
      </c>
      <c r="B37" s="15" t="s">
        <v>129</v>
      </c>
      <c r="C37" s="15" t="s">
        <v>73</v>
      </c>
      <c r="D37" s="28" t="n">
        <v>1</v>
      </c>
      <c r="E37" s="29" t="n">
        <v>12</v>
      </c>
      <c r="F37" s="29" t="n">
        <v>0</v>
      </c>
      <c r="G37" s="29" t="n">
        <v>0.84</v>
      </c>
      <c r="H37" s="30" t="n">
        <f aca="false">D37*E37+F37</f>
        <v>12</v>
      </c>
      <c r="I37" s="30" t="n">
        <f aca="false">H37*Settings!$B$5</f>
        <v>0.78</v>
      </c>
      <c r="J37" s="30" t="n">
        <f aca="false">(H37+G37)*Settings!$B$6+Settings!$B$7</f>
        <v>0.6352</v>
      </c>
      <c r="K37" s="30" t="n">
        <f aca="false">Settings!$B$8*D37</f>
        <v>0.2</v>
      </c>
      <c r="L37" s="15"/>
      <c r="M37" s="30" t="n">
        <f aca="false">IF(L37="Y",H37*Settings!$B$9,0)</f>
        <v>0</v>
      </c>
      <c r="N37" s="30" t="n">
        <f aca="false">H37-I37-J37-K37-M37</f>
        <v>10.3848</v>
      </c>
      <c r="O37" s="25" t="str">
        <f aca="false">IF(A37="","",LEFT(A37,7))</f>
        <v>2026-08</v>
      </c>
    </row>
    <row r="38" customFormat="false" ht="15" hidden="false" customHeight="false" outlineLevel="0" collapsed="false">
      <c r="A38" s="15" t="s">
        <v>128</v>
      </c>
      <c r="B38" s="15" t="s">
        <v>130</v>
      </c>
      <c r="C38" s="15" t="s">
        <v>73</v>
      </c>
      <c r="D38" s="28" t="n">
        <v>1</v>
      </c>
      <c r="E38" s="29" t="n">
        <v>12</v>
      </c>
      <c r="F38" s="29" t="n">
        <v>0</v>
      </c>
      <c r="G38" s="29" t="n">
        <v>0.84</v>
      </c>
      <c r="H38" s="30" t="n">
        <f aca="false">D38*E38+F38</f>
        <v>12</v>
      </c>
      <c r="I38" s="30" t="n">
        <f aca="false">H38*Settings!$B$5</f>
        <v>0.78</v>
      </c>
      <c r="J38" s="30" t="n">
        <f aca="false">(H38+G38)*Settings!$B$6+Settings!$B$7</f>
        <v>0.6352</v>
      </c>
      <c r="K38" s="30" t="n">
        <f aca="false">Settings!$B$8*D38</f>
        <v>0.2</v>
      </c>
      <c r="L38" s="15"/>
      <c r="M38" s="30" t="n">
        <f aca="false">IF(L38="Y",H38*Settings!$B$9,0)</f>
        <v>0</v>
      </c>
      <c r="N38" s="30" t="n">
        <f aca="false">H38-I38-J38-K38-M38</f>
        <v>10.3848</v>
      </c>
      <c r="O38" s="25" t="str">
        <f aca="false">IF(A38="","",LEFT(A38,7))</f>
        <v>2026-08</v>
      </c>
    </row>
    <row r="39" customFormat="false" ht="15" hidden="false" customHeight="false" outlineLevel="0" collapsed="false">
      <c r="A39" s="15" t="s">
        <v>131</v>
      </c>
      <c r="B39" s="15" t="s">
        <v>132</v>
      </c>
      <c r="C39" s="15" t="s">
        <v>83</v>
      </c>
      <c r="D39" s="28" t="n">
        <v>1</v>
      </c>
      <c r="E39" s="29" t="n">
        <v>7</v>
      </c>
      <c r="F39" s="29" t="n">
        <v>0</v>
      </c>
      <c r="G39" s="29" t="n">
        <v>0.49</v>
      </c>
      <c r="H39" s="30" t="n">
        <f aca="false">D39*E39+F39</f>
        <v>7</v>
      </c>
      <c r="I39" s="30" t="n">
        <f aca="false">H39*Settings!$B$5</f>
        <v>0.455</v>
      </c>
      <c r="J39" s="30" t="n">
        <f aca="false">(H39+G39)*Settings!$B$6+Settings!$B$7</f>
        <v>0.4747</v>
      </c>
      <c r="K39" s="30" t="n">
        <f aca="false">Settings!$B$8*D39</f>
        <v>0.2</v>
      </c>
      <c r="L39" s="15"/>
      <c r="M39" s="30" t="n">
        <f aca="false">IF(L39="Y",H39*Settings!$B$9,0)</f>
        <v>0</v>
      </c>
      <c r="N39" s="30" t="n">
        <f aca="false">H39-I39-J39-K39-M39</f>
        <v>5.8703</v>
      </c>
      <c r="O39" s="25" t="str">
        <f aca="false">IF(A39="","",LEFT(A39,7))</f>
        <v>2026-08</v>
      </c>
    </row>
    <row r="40" customFormat="false" ht="15" hidden="false" customHeight="false" outlineLevel="0" collapsed="false">
      <c r="A40" s="15" t="s">
        <v>133</v>
      </c>
      <c r="B40" s="15" t="s">
        <v>134</v>
      </c>
      <c r="C40" s="15" t="s">
        <v>73</v>
      </c>
      <c r="D40" s="28" t="n">
        <v>1</v>
      </c>
      <c r="E40" s="29" t="n">
        <v>12</v>
      </c>
      <c r="F40" s="29" t="n">
        <v>0</v>
      </c>
      <c r="G40" s="29" t="n">
        <v>0.84</v>
      </c>
      <c r="H40" s="30" t="n">
        <f aca="false">D40*E40+F40</f>
        <v>12</v>
      </c>
      <c r="I40" s="30" t="n">
        <f aca="false">H40*Settings!$B$5</f>
        <v>0.78</v>
      </c>
      <c r="J40" s="30" t="n">
        <f aca="false">(H40+G40)*Settings!$B$6+Settings!$B$7</f>
        <v>0.6352</v>
      </c>
      <c r="K40" s="30" t="n">
        <f aca="false">Settings!$B$8*D40</f>
        <v>0.2</v>
      </c>
      <c r="L40" s="15"/>
      <c r="M40" s="30" t="n">
        <f aca="false">IF(L40="Y",H40*Settings!$B$9,0)</f>
        <v>0</v>
      </c>
      <c r="N40" s="30" t="n">
        <f aca="false">H40-I40-J40-K40-M40</f>
        <v>10.3848</v>
      </c>
      <c r="O40" s="25" t="str">
        <f aca="false">IF(A40="","",LEFT(A40,7))</f>
        <v>2026-08</v>
      </c>
    </row>
    <row r="41" customFormat="false" ht="15" hidden="false" customHeight="false" outlineLevel="0" collapsed="false">
      <c r="A41" s="15" t="s">
        <v>133</v>
      </c>
      <c r="B41" s="15" t="s">
        <v>135</v>
      </c>
      <c r="C41" s="15" t="s">
        <v>83</v>
      </c>
      <c r="D41" s="28" t="n">
        <v>1</v>
      </c>
      <c r="E41" s="29" t="n">
        <v>7</v>
      </c>
      <c r="F41" s="29" t="n">
        <v>0</v>
      </c>
      <c r="G41" s="29" t="n">
        <v>0.49</v>
      </c>
      <c r="H41" s="30" t="n">
        <f aca="false">D41*E41+F41</f>
        <v>7</v>
      </c>
      <c r="I41" s="30" t="n">
        <f aca="false">H41*Settings!$B$5</f>
        <v>0.455</v>
      </c>
      <c r="J41" s="30" t="n">
        <f aca="false">(H41+G41)*Settings!$B$6+Settings!$B$7</f>
        <v>0.4747</v>
      </c>
      <c r="K41" s="30" t="n">
        <f aca="false">Settings!$B$8*D41</f>
        <v>0.2</v>
      </c>
      <c r="L41" s="15"/>
      <c r="M41" s="30" t="n">
        <f aca="false">IF(L41="Y",H41*Settings!$B$9,0)</f>
        <v>0</v>
      </c>
      <c r="N41" s="30" t="n">
        <f aca="false">H41-I41-J41-K41-M41</f>
        <v>5.8703</v>
      </c>
      <c r="O41" s="25" t="str">
        <f aca="false">IF(A41="","",LEFT(A41,7))</f>
        <v>2026-08</v>
      </c>
    </row>
    <row r="42" customFormat="false" ht="15" hidden="false" customHeight="false" outlineLevel="0" collapsed="false">
      <c r="A42" s="15" t="s">
        <v>133</v>
      </c>
      <c r="B42" s="15" t="s">
        <v>136</v>
      </c>
      <c r="C42" s="15" t="s">
        <v>92</v>
      </c>
      <c r="D42" s="28" t="n">
        <v>1</v>
      </c>
      <c r="E42" s="29" t="n">
        <v>8</v>
      </c>
      <c r="F42" s="29" t="n">
        <v>0</v>
      </c>
      <c r="G42" s="29" t="n">
        <v>0.56</v>
      </c>
      <c r="H42" s="30" t="n">
        <f aca="false">D42*E42+F42</f>
        <v>8</v>
      </c>
      <c r="I42" s="30" t="n">
        <f aca="false">H42*Settings!$B$5</f>
        <v>0.52</v>
      </c>
      <c r="J42" s="30" t="n">
        <f aca="false">(H42+G42)*Settings!$B$6+Settings!$B$7</f>
        <v>0.5068</v>
      </c>
      <c r="K42" s="30" t="n">
        <f aca="false">Settings!$B$8*D42</f>
        <v>0.2</v>
      </c>
      <c r="L42" s="15"/>
      <c r="M42" s="30" t="n">
        <f aca="false">IF(L42="Y",H42*Settings!$B$9,0)</f>
        <v>0</v>
      </c>
      <c r="N42" s="30" t="n">
        <f aca="false">H42-I42-J42-K42-M42</f>
        <v>6.7732</v>
      </c>
      <c r="O42" s="25" t="str">
        <f aca="false">IF(A42="","",LEFT(A42,7))</f>
        <v>2026-08</v>
      </c>
    </row>
    <row r="43" customFormat="false" ht="15" hidden="false" customHeight="false" outlineLevel="0" collapsed="false">
      <c r="A43" s="15" t="s">
        <v>133</v>
      </c>
      <c r="B43" s="15" t="s">
        <v>137</v>
      </c>
      <c r="C43" s="15" t="s">
        <v>83</v>
      </c>
      <c r="D43" s="28" t="n">
        <v>1</v>
      </c>
      <c r="E43" s="29" t="n">
        <v>7</v>
      </c>
      <c r="F43" s="29" t="n">
        <v>0</v>
      </c>
      <c r="G43" s="29" t="n">
        <v>0.49</v>
      </c>
      <c r="H43" s="30" t="n">
        <f aca="false">D43*E43+F43</f>
        <v>7</v>
      </c>
      <c r="I43" s="30" t="n">
        <f aca="false">H43*Settings!$B$5</f>
        <v>0.455</v>
      </c>
      <c r="J43" s="30" t="n">
        <f aca="false">(H43+G43)*Settings!$B$6+Settings!$B$7</f>
        <v>0.4747</v>
      </c>
      <c r="K43" s="30" t="n">
        <f aca="false">Settings!$B$8*D43</f>
        <v>0.2</v>
      </c>
      <c r="L43" s="15"/>
      <c r="M43" s="30" t="n">
        <f aca="false">IF(L43="Y",H43*Settings!$B$9,0)</f>
        <v>0</v>
      </c>
      <c r="N43" s="30" t="n">
        <f aca="false">H43-I43-J43-K43-M43</f>
        <v>5.8703</v>
      </c>
      <c r="O43" s="25" t="str">
        <f aca="false">IF(A43="","",LEFT(A43,7))</f>
        <v>2026-08</v>
      </c>
    </row>
    <row r="44" customFormat="false" ht="15" hidden="false" customHeight="false" outlineLevel="0" collapsed="false">
      <c r="A44" s="15" t="s">
        <v>138</v>
      </c>
      <c r="B44" s="15" t="s">
        <v>139</v>
      </c>
      <c r="C44" s="15" t="s">
        <v>92</v>
      </c>
      <c r="D44" s="28" t="n">
        <v>1</v>
      </c>
      <c r="E44" s="29" t="n">
        <v>8</v>
      </c>
      <c r="F44" s="29" t="n">
        <v>0</v>
      </c>
      <c r="G44" s="29" t="n">
        <v>0.56</v>
      </c>
      <c r="H44" s="30" t="n">
        <f aca="false">D44*E44+F44</f>
        <v>8</v>
      </c>
      <c r="I44" s="30" t="n">
        <f aca="false">H44*Settings!$B$5</f>
        <v>0.52</v>
      </c>
      <c r="J44" s="30" t="n">
        <f aca="false">(H44+G44)*Settings!$B$6+Settings!$B$7</f>
        <v>0.5068</v>
      </c>
      <c r="K44" s="30" t="n">
        <f aca="false">Settings!$B$8*D44</f>
        <v>0.2</v>
      </c>
      <c r="L44" s="15"/>
      <c r="M44" s="30" t="n">
        <f aca="false">IF(L44="Y",H44*Settings!$B$9,0)</f>
        <v>0</v>
      </c>
      <c r="N44" s="30" t="n">
        <f aca="false">H44-I44-J44-K44-M44</f>
        <v>6.7732</v>
      </c>
      <c r="O44" s="25" t="str">
        <f aca="false">IF(A44="","",LEFT(A44,7))</f>
        <v>2026-08</v>
      </c>
    </row>
    <row r="45" customFormat="false" ht="15" hidden="false" customHeight="false" outlineLevel="0" collapsed="false">
      <c r="A45" s="15" t="s">
        <v>140</v>
      </c>
      <c r="B45" s="15" t="s">
        <v>141</v>
      </c>
      <c r="C45" s="15" t="s">
        <v>83</v>
      </c>
      <c r="D45" s="28" t="n">
        <v>1</v>
      </c>
      <c r="E45" s="29" t="n">
        <v>7</v>
      </c>
      <c r="F45" s="29" t="n">
        <v>0</v>
      </c>
      <c r="G45" s="29" t="n">
        <v>0.49</v>
      </c>
      <c r="H45" s="30" t="n">
        <f aca="false">D45*E45+F45</f>
        <v>7</v>
      </c>
      <c r="I45" s="30" t="n">
        <f aca="false">H45*Settings!$B$5</f>
        <v>0.455</v>
      </c>
      <c r="J45" s="30" t="n">
        <f aca="false">(H45+G45)*Settings!$B$6+Settings!$B$7</f>
        <v>0.4747</v>
      </c>
      <c r="K45" s="30" t="n">
        <f aca="false">Settings!$B$8*D45</f>
        <v>0.2</v>
      </c>
      <c r="L45" s="15"/>
      <c r="M45" s="30" t="n">
        <f aca="false">IF(L45="Y",H45*Settings!$B$9,0)</f>
        <v>0</v>
      </c>
      <c r="N45" s="30" t="n">
        <f aca="false">H45-I45-J45-K45-M45</f>
        <v>5.8703</v>
      </c>
      <c r="O45" s="25" t="str">
        <f aca="false">IF(A45="","",LEFT(A45,7))</f>
        <v>2026-08</v>
      </c>
    </row>
    <row r="46" customFormat="false" ht="15" hidden="false" customHeight="false" outlineLevel="0" collapsed="false">
      <c r="A46" s="15" t="s">
        <v>142</v>
      </c>
      <c r="B46" s="15" t="s">
        <v>143</v>
      </c>
      <c r="C46" s="15" t="s">
        <v>92</v>
      </c>
      <c r="D46" s="28" t="n">
        <v>1</v>
      </c>
      <c r="E46" s="29" t="n">
        <v>8</v>
      </c>
      <c r="F46" s="29" t="n">
        <v>0</v>
      </c>
      <c r="G46" s="29" t="n">
        <v>0.56</v>
      </c>
      <c r="H46" s="30" t="n">
        <f aca="false">D46*E46+F46</f>
        <v>8</v>
      </c>
      <c r="I46" s="30" t="n">
        <f aca="false">H46*Settings!$B$5</f>
        <v>0.52</v>
      </c>
      <c r="J46" s="30" t="n">
        <f aca="false">(H46+G46)*Settings!$B$6+Settings!$B$7</f>
        <v>0.5068</v>
      </c>
      <c r="K46" s="30" t="n">
        <f aca="false">Settings!$B$8*D46</f>
        <v>0.2</v>
      </c>
      <c r="L46" s="15"/>
      <c r="M46" s="30" t="n">
        <f aca="false">IF(L46="Y",H46*Settings!$B$9,0)</f>
        <v>0</v>
      </c>
      <c r="N46" s="30" t="n">
        <f aca="false">H46-I46-J46-K46-M46</f>
        <v>6.7732</v>
      </c>
      <c r="O46" s="25" t="str">
        <f aca="false">IF(A46="","",LEFT(A46,7))</f>
        <v>2026-08</v>
      </c>
    </row>
    <row r="47" customFormat="false" ht="15" hidden="false" customHeight="false" outlineLevel="0" collapsed="false">
      <c r="A47" s="15" t="s">
        <v>142</v>
      </c>
      <c r="B47" s="15" t="s">
        <v>144</v>
      </c>
      <c r="C47" s="15" t="s">
        <v>76</v>
      </c>
      <c r="D47" s="28" t="n">
        <v>1</v>
      </c>
      <c r="E47" s="29" t="n">
        <v>9</v>
      </c>
      <c r="F47" s="29" t="n">
        <v>0</v>
      </c>
      <c r="G47" s="29" t="n">
        <v>0.63</v>
      </c>
      <c r="H47" s="30" t="n">
        <f aca="false">D47*E47+F47</f>
        <v>9</v>
      </c>
      <c r="I47" s="30" t="n">
        <f aca="false">H47*Settings!$B$5</f>
        <v>0.585</v>
      </c>
      <c r="J47" s="30" t="n">
        <f aca="false">(H47+G47)*Settings!$B$6+Settings!$B$7</f>
        <v>0.5389</v>
      </c>
      <c r="K47" s="30" t="n">
        <f aca="false">Settings!$B$8*D47</f>
        <v>0.2</v>
      </c>
      <c r="L47" s="15"/>
      <c r="M47" s="30" t="n">
        <f aca="false">IF(L47="Y",H47*Settings!$B$9,0)</f>
        <v>0</v>
      </c>
      <c r="N47" s="30" t="n">
        <f aca="false">H47-I47-J47-K47-M47</f>
        <v>7.6761</v>
      </c>
      <c r="O47" s="25" t="str">
        <f aca="false">IF(A47="","",LEFT(A47,7))</f>
        <v>2026-08</v>
      </c>
    </row>
    <row r="48" customFormat="false" ht="15" hidden="false" customHeight="false" outlineLevel="0" collapsed="false">
      <c r="A48" s="15" t="s">
        <v>145</v>
      </c>
      <c r="B48" s="15" t="s">
        <v>146</v>
      </c>
      <c r="C48" s="15" t="s">
        <v>80</v>
      </c>
      <c r="D48" s="28" t="n">
        <v>1</v>
      </c>
      <c r="E48" s="29" t="n">
        <v>8</v>
      </c>
      <c r="F48" s="29" t="n">
        <v>0</v>
      </c>
      <c r="G48" s="29" t="n">
        <v>0.56</v>
      </c>
      <c r="H48" s="30" t="n">
        <f aca="false">D48*E48+F48</f>
        <v>8</v>
      </c>
      <c r="I48" s="30" t="n">
        <f aca="false">H48*Settings!$B$5</f>
        <v>0.52</v>
      </c>
      <c r="J48" s="30" t="n">
        <f aca="false">(H48+G48)*Settings!$B$6+Settings!$B$7</f>
        <v>0.5068</v>
      </c>
      <c r="K48" s="30" t="n">
        <f aca="false">Settings!$B$8*D48</f>
        <v>0.2</v>
      </c>
      <c r="L48" s="15"/>
      <c r="M48" s="30" t="n">
        <f aca="false">IF(L48="Y",H48*Settings!$B$9,0)</f>
        <v>0</v>
      </c>
      <c r="N48" s="30" t="n">
        <f aca="false">H48-I48-J48-K48-M48</f>
        <v>6.7732</v>
      </c>
      <c r="O48" s="25" t="str">
        <f aca="false">IF(A48="","",LEFT(A48,7))</f>
        <v>2026-08</v>
      </c>
    </row>
    <row r="49" customFormat="false" ht="15" hidden="false" customHeight="false" outlineLevel="0" collapsed="false">
      <c r="A49" s="15" t="s">
        <v>147</v>
      </c>
      <c r="B49" s="15" t="s">
        <v>148</v>
      </c>
      <c r="C49" s="15" t="s">
        <v>76</v>
      </c>
      <c r="D49" s="28" t="n">
        <v>1</v>
      </c>
      <c r="E49" s="29" t="n">
        <v>9</v>
      </c>
      <c r="F49" s="29" t="n">
        <v>0</v>
      </c>
      <c r="G49" s="29" t="n">
        <v>0.63</v>
      </c>
      <c r="H49" s="30" t="n">
        <f aca="false">D49*E49+F49</f>
        <v>9</v>
      </c>
      <c r="I49" s="30" t="n">
        <f aca="false">H49*Settings!$B$5</f>
        <v>0.585</v>
      </c>
      <c r="J49" s="30" t="n">
        <f aca="false">(H49+G49)*Settings!$B$6+Settings!$B$7</f>
        <v>0.5389</v>
      </c>
      <c r="K49" s="30" t="n">
        <f aca="false">Settings!$B$8*D49</f>
        <v>0.2</v>
      </c>
      <c r="L49" s="15"/>
      <c r="M49" s="30" t="n">
        <f aca="false">IF(L49="Y",H49*Settings!$B$9,0)</f>
        <v>0</v>
      </c>
      <c r="N49" s="30" t="n">
        <f aca="false">H49-I49-J49-K49-M49</f>
        <v>7.6761</v>
      </c>
      <c r="O49" s="25" t="str">
        <f aca="false">IF(A49="","",LEFT(A49,7))</f>
        <v>2026-08</v>
      </c>
    </row>
    <row r="50" customFormat="false" ht="15" hidden="false" customHeight="false" outlineLevel="0" collapsed="false">
      <c r="A50" s="15" t="s">
        <v>149</v>
      </c>
      <c r="B50" s="15" t="s">
        <v>150</v>
      </c>
      <c r="C50" s="15" t="s">
        <v>80</v>
      </c>
      <c r="D50" s="28" t="n">
        <v>1</v>
      </c>
      <c r="E50" s="29" t="n">
        <v>8</v>
      </c>
      <c r="F50" s="29" t="n">
        <v>0</v>
      </c>
      <c r="G50" s="29" t="n">
        <v>0.56</v>
      </c>
      <c r="H50" s="30" t="n">
        <f aca="false">D50*E50+F50</f>
        <v>8</v>
      </c>
      <c r="I50" s="30" t="n">
        <f aca="false">H50*Settings!$B$5</f>
        <v>0.52</v>
      </c>
      <c r="J50" s="30" t="n">
        <f aca="false">(H50+G50)*Settings!$B$6+Settings!$B$7</f>
        <v>0.5068</v>
      </c>
      <c r="K50" s="30" t="n">
        <f aca="false">Settings!$B$8*D50</f>
        <v>0.2</v>
      </c>
      <c r="L50" s="15"/>
      <c r="M50" s="30" t="n">
        <f aca="false">IF(L50="Y",H50*Settings!$B$9,0)</f>
        <v>0</v>
      </c>
      <c r="N50" s="30" t="n">
        <f aca="false">H50-I50-J50-K50-M50</f>
        <v>6.7732</v>
      </c>
      <c r="O50" s="25" t="str">
        <f aca="false">IF(A50="","",LEFT(A50,7))</f>
        <v>2026-08</v>
      </c>
    </row>
    <row r="51" customFormat="false" ht="15" hidden="false" customHeight="false" outlineLevel="0" collapsed="false">
      <c r="A51" s="15" t="s">
        <v>151</v>
      </c>
      <c r="B51" s="15" t="s">
        <v>152</v>
      </c>
      <c r="C51" s="15" t="s">
        <v>92</v>
      </c>
      <c r="D51" s="28" t="n">
        <v>1</v>
      </c>
      <c r="E51" s="29" t="n">
        <v>8</v>
      </c>
      <c r="F51" s="29" t="n">
        <v>0</v>
      </c>
      <c r="G51" s="29" t="n">
        <v>0.56</v>
      </c>
      <c r="H51" s="30" t="n">
        <f aca="false">D51*E51+F51</f>
        <v>8</v>
      </c>
      <c r="I51" s="30" t="n">
        <f aca="false">H51*Settings!$B$5</f>
        <v>0.52</v>
      </c>
      <c r="J51" s="30" t="n">
        <f aca="false">(H51+G51)*Settings!$B$6+Settings!$B$7</f>
        <v>0.5068</v>
      </c>
      <c r="K51" s="30" t="n">
        <f aca="false">Settings!$B$8*D51</f>
        <v>0.2</v>
      </c>
      <c r="L51" s="15"/>
      <c r="M51" s="30" t="n">
        <f aca="false">IF(L51="Y",H51*Settings!$B$9,0)</f>
        <v>0</v>
      </c>
      <c r="N51" s="30" t="n">
        <f aca="false">H51-I51-J51-K51-M51</f>
        <v>6.7732</v>
      </c>
      <c r="O51" s="25" t="str">
        <f aca="false">IF(A51="","",LEFT(A51,7))</f>
        <v>2026-08</v>
      </c>
    </row>
    <row r="52" customFormat="false" ht="15" hidden="false" customHeight="false" outlineLevel="0" collapsed="false">
      <c r="A52" s="15" t="s">
        <v>151</v>
      </c>
      <c r="B52" s="15" t="s">
        <v>153</v>
      </c>
      <c r="C52" s="15" t="s">
        <v>92</v>
      </c>
      <c r="D52" s="28" t="n">
        <v>1</v>
      </c>
      <c r="E52" s="29" t="n">
        <v>8</v>
      </c>
      <c r="F52" s="29" t="n">
        <v>0</v>
      </c>
      <c r="G52" s="29" t="n">
        <v>0.56</v>
      </c>
      <c r="H52" s="30" t="n">
        <f aca="false">D52*E52+F52</f>
        <v>8</v>
      </c>
      <c r="I52" s="30" t="n">
        <f aca="false">H52*Settings!$B$5</f>
        <v>0.52</v>
      </c>
      <c r="J52" s="30" t="n">
        <f aca="false">(H52+G52)*Settings!$B$6+Settings!$B$7</f>
        <v>0.5068</v>
      </c>
      <c r="K52" s="30" t="n">
        <f aca="false">Settings!$B$8*D52</f>
        <v>0.2</v>
      </c>
      <c r="L52" s="15"/>
      <c r="M52" s="30" t="n">
        <f aca="false">IF(L52="Y",H52*Settings!$B$9,0)</f>
        <v>0</v>
      </c>
      <c r="N52" s="30" t="n">
        <f aca="false">H52-I52-J52-K52-M52</f>
        <v>6.7732</v>
      </c>
      <c r="O52" s="25" t="str">
        <f aca="false">IF(A52="","",LEFT(A52,7))</f>
        <v>2026-08</v>
      </c>
    </row>
    <row r="53" customFormat="false" ht="15" hidden="false" customHeight="false" outlineLevel="0" collapsed="false">
      <c r="A53" s="15" t="s">
        <v>154</v>
      </c>
      <c r="B53" s="15" t="s">
        <v>155</v>
      </c>
      <c r="C53" s="15" t="s">
        <v>83</v>
      </c>
      <c r="D53" s="28" t="n">
        <v>1</v>
      </c>
      <c r="E53" s="29" t="n">
        <v>7</v>
      </c>
      <c r="F53" s="29" t="n">
        <v>0</v>
      </c>
      <c r="G53" s="29" t="n">
        <v>0.49</v>
      </c>
      <c r="H53" s="30" t="n">
        <f aca="false">D53*E53+F53</f>
        <v>7</v>
      </c>
      <c r="I53" s="30" t="n">
        <f aca="false">H53*Settings!$B$5</f>
        <v>0.455</v>
      </c>
      <c r="J53" s="30" t="n">
        <f aca="false">(H53+G53)*Settings!$B$6+Settings!$B$7</f>
        <v>0.4747</v>
      </c>
      <c r="K53" s="30" t="n">
        <f aca="false">Settings!$B$8*D53</f>
        <v>0.2</v>
      </c>
      <c r="L53" s="15"/>
      <c r="M53" s="30" t="n">
        <f aca="false">IF(L53="Y",H53*Settings!$B$9,0)</f>
        <v>0</v>
      </c>
      <c r="N53" s="30" t="n">
        <f aca="false">H53-I53-J53-K53-M53</f>
        <v>5.8703</v>
      </c>
      <c r="O53" s="25" t="str">
        <f aca="false">IF(A53="","",LEFT(A53,7))</f>
        <v>2026-08</v>
      </c>
    </row>
    <row r="54" customFormat="false" ht="15" hidden="false" customHeight="false" outlineLevel="0" collapsed="false">
      <c r="A54" s="15" t="s">
        <v>156</v>
      </c>
      <c r="B54" s="15" t="s">
        <v>157</v>
      </c>
      <c r="C54" s="15" t="s">
        <v>73</v>
      </c>
      <c r="D54" s="28" t="n">
        <v>1</v>
      </c>
      <c r="E54" s="29" t="n">
        <v>12</v>
      </c>
      <c r="F54" s="29" t="n">
        <v>0</v>
      </c>
      <c r="G54" s="29" t="n">
        <v>0.84</v>
      </c>
      <c r="H54" s="30" t="n">
        <f aca="false">D54*E54+F54</f>
        <v>12</v>
      </c>
      <c r="I54" s="30" t="n">
        <f aca="false">H54*Settings!$B$5</f>
        <v>0.78</v>
      </c>
      <c r="J54" s="30" t="n">
        <f aca="false">(H54+G54)*Settings!$B$6+Settings!$B$7</f>
        <v>0.6352</v>
      </c>
      <c r="K54" s="30" t="n">
        <f aca="false">Settings!$B$8*D54</f>
        <v>0.2</v>
      </c>
      <c r="L54" s="15"/>
      <c r="M54" s="30" t="n">
        <f aca="false">IF(L54="Y",H54*Settings!$B$9,0)</f>
        <v>0</v>
      </c>
      <c r="N54" s="30" t="n">
        <f aca="false">H54-I54-J54-K54-M54</f>
        <v>10.3848</v>
      </c>
      <c r="O54" s="25" t="str">
        <f aca="false">IF(A54="","",LEFT(A54,7))</f>
        <v>2026-08</v>
      </c>
    </row>
    <row r="55" customFormat="false" ht="15" hidden="false" customHeight="false" outlineLevel="0" collapsed="false">
      <c r="A55" s="15" t="s">
        <v>158</v>
      </c>
      <c r="B55" s="15" t="s">
        <v>159</v>
      </c>
      <c r="C55" s="15" t="s">
        <v>83</v>
      </c>
      <c r="D55" s="28" t="n">
        <v>1</v>
      </c>
      <c r="E55" s="29" t="n">
        <v>7</v>
      </c>
      <c r="F55" s="29" t="n">
        <v>0</v>
      </c>
      <c r="G55" s="29" t="n">
        <v>0.49</v>
      </c>
      <c r="H55" s="30" t="n">
        <f aca="false">D55*E55+F55</f>
        <v>7</v>
      </c>
      <c r="I55" s="30" t="n">
        <f aca="false">H55*Settings!$B$5</f>
        <v>0.455</v>
      </c>
      <c r="J55" s="30" t="n">
        <f aca="false">(H55+G55)*Settings!$B$6+Settings!$B$7</f>
        <v>0.4747</v>
      </c>
      <c r="K55" s="30" t="n">
        <f aca="false">Settings!$B$8*D55</f>
        <v>0.2</v>
      </c>
      <c r="L55" s="15" t="s">
        <v>77</v>
      </c>
      <c r="M55" s="30" t="n">
        <f aca="false">IF(L55="Y",H55*Settings!$B$9,0)</f>
        <v>1.05</v>
      </c>
      <c r="N55" s="30" t="n">
        <f aca="false">H55-I55-J55-K55-M55</f>
        <v>4.8203</v>
      </c>
      <c r="O55" s="25" t="str">
        <f aca="false">IF(A55="","",LEFT(A55,7))</f>
        <v>2026-08</v>
      </c>
    </row>
    <row r="56" customFormat="false" ht="15" hidden="false" customHeight="false" outlineLevel="0" collapsed="false">
      <c r="A56" s="15" t="s">
        <v>158</v>
      </c>
      <c r="B56" s="15" t="s">
        <v>160</v>
      </c>
      <c r="C56" s="15" t="s">
        <v>92</v>
      </c>
      <c r="D56" s="28" t="n">
        <v>1</v>
      </c>
      <c r="E56" s="29" t="n">
        <v>8</v>
      </c>
      <c r="F56" s="29" t="n">
        <v>0</v>
      </c>
      <c r="G56" s="29" t="n">
        <v>0.56</v>
      </c>
      <c r="H56" s="30" t="n">
        <f aca="false">D56*E56+F56</f>
        <v>8</v>
      </c>
      <c r="I56" s="30" t="n">
        <f aca="false">H56*Settings!$B$5</f>
        <v>0.52</v>
      </c>
      <c r="J56" s="30" t="n">
        <f aca="false">(H56+G56)*Settings!$B$6+Settings!$B$7</f>
        <v>0.5068</v>
      </c>
      <c r="K56" s="30" t="n">
        <f aca="false">Settings!$B$8*D56</f>
        <v>0.2</v>
      </c>
      <c r="L56" s="15"/>
      <c r="M56" s="30" t="n">
        <f aca="false">IF(L56="Y",H56*Settings!$B$9,0)</f>
        <v>0</v>
      </c>
      <c r="N56" s="30" t="n">
        <f aca="false">H56-I56-J56-K56-M56</f>
        <v>6.7732</v>
      </c>
      <c r="O56" s="25" t="str">
        <f aca="false">IF(A56="","",LEFT(A56,7))</f>
        <v>2026-08</v>
      </c>
    </row>
    <row r="57" customFormat="false" ht="15" hidden="false" customHeight="false" outlineLevel="0" collapsed="false">
      <c r="A57" s="15" t="s">
        <v>161</v>
      </c>
      <c r="B57" s="15" t="s">
        <v>162</v>
      </c>
      <c r="C57" s="15" t="s">
        <v>92</v>
      </c>
      <c r="D57" s="28" t="n">
        <v>1</v>
      </c>
      <c r="E57" s="29" t="n">
        <v>8</v>
      </c>
      <c r="F57" s="29" t="n">
        <v>0</v>
      </c>
      <c r="G57" s="29" t="n">
        <v>0.56</v>
      </c>
      <c r="H57" s="30" t="n">
        <f aca="false">D57*E57+F57</f>
        <v>8</v>
      </c>
      <c r="I57" s="30" t="n">
        <f aca="false">H57*Settings!$B$5</f>
        <v>0.52</v>
      </c>
      <c r="J57" s="30" t="n">
        <f aca="false">(H57+G57)*Settings!$B$6+Settings!$B$7</f>
        <v>0.5068</v>
      </c>
      <c r="K57" s="30" t="n">
        <f aca="false">Settings!$B$8*D57</f>
        <v>0.2</v>
      </c>
      <c r="L57" s="15"/>
      <c r="M57" s="30" t="n">
        <f aca="false">IF(L57="Y",H57*Settings!$B$9,0)</f>
        <v>0</v>
      </c>
      <c r="N57" s="30" t="n">
        <f aca="false">H57-I57-J57-K57-M57</f>
        <v>6.7732</v>
      </c>
      <c r="O57" s="25" t="str">
        <f aca="false">IF(A57="","",LEFT(A57,7))</f>
        <v>2026-08</v>
      </c>
    </row>
    <row r="58" customFormat="false" ht="15" hidden="false" customHeight="false" outlineLevel="0" collapsed="false">
      <c r="A58" s="15" t="s">
        <v>161</v>
      </c>
      <c r="B58" s="15" t="s">
        <v>163</v>
      </c>
      <c r="C58" s="15" t="s">
        <v>76</v>
      </c>
      <c r="D58" s="28" t="n">
        <v>1</v>
      </c>
      <c r="E58" s="29" t="n">
        <v>9</v>
      </c>
      <c r="F58" s="29" t="n">
        <v>0</v>
      </c>
      <c r="G58" s="29" t="n">
        <v>0.63</v>
      </c>
      <c r="H58" s="30" t="n">
        <f aca="false">D58*E58+F58</f>
        <v>9</v>
      </c>
      <c r="I58" s="30" t="n">
        <f aca="false">H58*Settings!$B$5</f>
        <v>0.585</v>
      </c>
      <c r="J58" s="30" t="n">
        <f aca="false">(H58+G58)*Settings!$B$6+Settings!$B$7</f>
        <v>0.5389</v>
      </c>
      <c r="K58" s="30" t="n">
        <f aca="false">Settings!$B$8*D58</f>
        <v>0.2</v>
      </c>
      <c r="L58" s="15" t="s">
        <v>77</v>
      </c>
      <c r="M58" s="30" t="n">
        <f aca="false">IF(L58="Y",H58*Settings!$B$9,0)</f>
        <v>1.35</v>
      </c>
      <c r="N58" s="30" t="n">
        <f aca="false">H58-I58-J58-K58-M58</f>
        <v>6.3261</v>
      </c>
      <c r="O58" s="25" t="str">
        <f aca="false">IF(A58="","",LEFT(A58,7))</f>
        <v>2026-08</v>
      </c>
    </row>
    <row r="59" customFormat="false" ht="15" hidden="false" customHeight="false" outlineLevel="0" collapsed="false">
      <c r="A59" s="15" t="s">
        <v>164</v>
      </c>
      <c r="B59" s="15" t="s">
        <v>165</v>
      </c>
      <c r="C59" s="15" t="s">
        <v>83</v>
      </c>
      <c r="D59" s="28" t="n">
        <v>1</v>
      </c>
      <c r="E59" s="29" t="n">
        <v>7</v>
      </c>
      <c r="F59" s="29" t="n">
        <v>0</v>
      </c>
      <c r="G59" s="29" t="n">
        <v>0.49</v>
      </c>
      <c r="H59" s="30" t="n">
        <f aca="false">D59*E59+F59</f>
        <v>7</v>
      </c>
      <c r="I59" s="30" t="n">
        <f aca="false">H59*Settings!$B$5</f>
        <v>0.455</v>
      </c>
      <c r="J59" s="30" t="n">
        <f aca="false">(H59+G59)*Settings!$B$6+Settings!$B$7</f>
        <v>0.4747</v>
      </c>
      <c r="K59" s="30" t="n">
        <f aca="false">Settings!$B$8*D59</f>
        <v>0.2</v>
      </c>
      <c r="L59" s="15"/>
      <c r="M59" s="30" t="n">
        <f aca="false">IF(L59="Y",H59*Settings!$B$9,0)</f>
        <v>0</v>
      </c>
      <c r="N59" s="30" t="n">
        <f aca="false">H59-I59-J59-K59-M59</f>
        <v>5.8703</v>
      </c>
      <c r="O59" s="25" t="str">
        <f aca="false">IF(A59="","",LEFT(A59,7))</f>
        <v>2026-08</v>
      </c>
    </row>
    <row r="60" customFormat="false" ht="15" hidden="false" customHeight="false" outlineLevel="0" collapsed="false">
      <c r="A60" s="15" t="s">
        <v>166</v>
      </c>
      <c r="B60" s="15" t="s">
        <v>167</v>
      </c>
      <c r="C60" s="15" t="s">
        <v>80</v>
      </c>
      <c r="D60" s="28" t="n">
        <v>1</v>
      </c>
      <c r="E60" s="29" t="n">
        <v>8</v>
      </c>
      <c r="F60" s="29" t="n">
        <v>0</v>
      </c>
      <c r="G60" s="29" t="n">
        <v>0.56</v>
      </c>
      <c r="H60" s="30" t="n">
        <f aca="false">D60*E60+F60</f>
        <v>8</v>
      </c>
      <c r="I60" s="30" t="n">
        <f aca="false">H60*Settings!$B$5</f>
        <v>0.52</v>
      </c>
      <c r="J60" s="30" t="n">
        <f aca="false">(H60+G60)*Settings!$B$6+Settings!$B$7</f>
        <v>0.5068</v>
      </c>
      <c r="K60" s="30" t="n">
        <f aca="false">Settings!$B$8*D60</f>
        <v>0.2</v>
      </c>
      <c r="L60" s="15"/>
      <c r="M60" s="30" t="n">
        <f aca="false">IF(L60="Y",H60*Settings!$B$9,0)</f>
        <v>0</v>
      </c>
      <c r="N60" s="30" t="n">
        <f aca="false">H60-I60-J60-K60-M60</f>
        <v>6.7732</v>
      </c>
      <c r="O60" s="25" t="str">
        <f aca="false">IF(A60="","",LEFT(A60,7))</f>
        <v>2026-08</v>
      </c>
    </row>
    <row r="61" customFormat="false" ht="15" hidden="false" customHeight="false" outlineLevel="0" collapsed="false">
      <c r="A61" s="15" t="s">
        <v>168</v>
      </c>
      <c r="B61" s="15" t="s">
        <v>169</v>
      </c>
      <c r="C61" s="15" t="s">
        <v>76</v>
      </c>
      <c r="D61" s="28" t="n">
        <v>1</v>
      </c>
      <c r="E61" s="29" t="n">
        <v>9</v>
      </c>
      <c r="F61" s="29" t="n">
        <v>0</v>
      </c>
      <c r="G61" s="29" t="n">
        <v>0.63</v>
      </c>
      <c r="H61" s="30" t="n">
        <f aca="false">D61*E61+F61</f>
        <v>9</v>
      </c>
      <c r="I61" s="30" t="n">
        <f aca="false">H61*Settings!$B$5</f>
        <v>0.585</v>
      </c>
      <c r="J61" s="30" t="n">
        <f aca="false">(H61+G61)*Settings!$B$6+Settings!$B$7</f>
        <v>0.5389</v>
      </c>
      <c r="K61" s="30" t="n">
        <f aca="false">Settings!$B$8*D61</f>
        <v>0.2</v>
      </c>
      <c r="L61" s="15"/>
      <c r="M61" s="30" t="n">
        <f aca="false">IF(L61="Y",H61*Settings!$B$9,0)</f>
        <v>0</v>
      </c>
      <c r="N61" s="30" t="n">
        <f aca="false">H61-I61-J61-K61-M61</f>
        <v>7.6761</v>
      </c>
      <c r="O61" s="25" t="str">
        <f aca="false">IF(A61="","",LEFT(A61,7))</f>
        <v>2026-08</v>
      </c>
    </row>
    <row r="62" customFormat="false" ht="15" hidden="false" customHeight="false" outlineLevel="0" collapsed="false">
      <c r="A62" s="15" t="s">
        <v>170</v>
      </c>
      <c r="B62" s="15" t="s">
        <v>171</v>
      </c>
      <c r="C62" s="15" t="s">
        <v>92</v>
      </c>
      <c r="D62" s="28" t="n">
        <v>1</v>
      </c>
      <c r="E62" s="29" t="n">
        <v>8</v>
      </c>
      <c r="F62" s="29" t="n">
        <v>0</v>
      </c>
      <c r="G62" s="29" t="n">
        <v>0.56</v>
      </c>
      <c r="H62" s="30" t="n">
        <f aca="false">D62*E62+F62</f>
        <v>8</v>
      </c>
      <c r="I62" s="30" t="n">
        <f aca="false">H62*Settings!$B$5</f>
        <v>0.52</v>
      </c>
      <c r="J62" s="30" t="n">
        <f aca="false">(H62+G62)*Settings!$B$6+Settings!$B$7</f>
        <v>0.5068</v>
      </c>
      <c r="K62" s="30" t="n">
        <f aca="false">Settings!$B$8*D62</f>
        <v>0.2</v>
      </c>
      <c r="L62" s="15"/>
      <c r="M62" s="30" t="n">
        <f aca="false">IF(L62="Y",H62*Settings!$B$9,0)</f>
        <v>0</v>
      </c>
      <c r="N62" s="30" t="n">
        <f aca="false">H62-I62-J62-K62-M62</f>
        <v>6.7732</v>
      </c>
      <c r="O62" s="25" t="str">
        <f aca="false">IF(A62="","",LEFT(A62,7))</f>
        <v>2026-08</v>
      </c>
    </row>
    <row r="63" customFormat="false" ht="15" hidden="false" customHeight="false" outlineLevel="0" collapsed="false">
      <c r="A63" s="15" t="s">
        <v>170</v>
      </c>
      <c r="B63" s="15" t="s">
        <v>172</v>
      </c>
      <c r="C63" s="15" t="s">
        <v>83</v>
      </c>
      <c r="D63" s="28" t="n">
        <v>1</v>
      </c>
      <c r="E63" s="29" t="n">
        <v>7</v>
      </c>
      <c r="F63" s="29" t="n">
        <v>0</v>
      </c>
      <c r="G63" s="29" t="n">
        <v>0.49</v>
      </c>
      <c r="H63" s="30" t="n">
        <f aca="false">D63*E63+F63</f>
        <v>7</v>
      </c>
      <c r="I63" s="30" t="n">
        <f aca="false">H63*Settings!$B$5</f>
        <v>0.455</v>
      </c>
      <c r="J63" s="30" t="n">
        <f aca="false">(H63+G63)*Settings!$B$6+Settings!$B$7</f>
        <v>0.4747</v>
      </c>
      <c r="K63" s="30" t="n">
        <f aca="false">Settings!$B$8*D63</f>
        <v>0.2</v>
      </c>
      <c r="L63" s="15"/>
      <c r="M63" s="30" t="n">
        <f aca="false">IF(L63="Y",H63*Settings!$B$9,0)</f>
        <v>0</v>
      </c>
      <c r="N63" s="30" t="n">
        <f aca="false">H63-I63-J63-K63-M63</f>
        <v>5.8703</v>
      </c>
      <c r="O63" s="25" t="str">
        <f aca="false">IF(A63="","",LEFT(A63,7))</f>
        <v>2026-08</v>
      </c>
    </row>
    <row r="64" customFormat="false" ht="15" hidden="false" customHeight="false" outlineLevel="0" collapsed="false">
      <c r="A64" s="15" t="s">
        <v>173</v>
      </c>
      <c r="B64" s="15" t="s">
        <v>174</v>
      </c>
      <c r="C64" s="15" t="s">
        <v>76</v>
      </c>
      <c r="D64" s="28" t="n">
        <v>1</v>
      </c>
      <c r="E64" s="29" t="n">
        <v>9</v>
      </c>
      <c r="F64" s="29" t="n">
        <v>0</v>
      </c>
      <c r="G64" s="29" t="n">
        <v>0.63</v>
      </c>
      <c r="H64" s="30" t="n">
        <f aca="false">D64*E64+F64</f>
        <v>9</v>
      </c>
      <c r="I64" s="30" t="n">
        <f aca="false">H64*Settings!$B$5</f>
        <v>0.585</v>
      </c>
      <c r="J64" s="30" t="n">
        <f aca="false">(H64+G64)*Settings!$B$6+Settings!$B$7</f>
        <v>0.5389</v>
      </c>
      <c r="K64" s="30" t="n">
        <f aca="false">Settings!$B$8*D64</f>
        <v>0.2</v>
      </c>
      <c r="L64" s="15"/>
      <c r="M64" s="30" t="n">
        <f aca="false">IF(L64="Y",H64*Settings!$B$9,0)</f>
        <v>0</v>
      </c>
      <c r="N64" s="30" t="n">
        <f aca="false">H64-I64-J64-K64-M64</f>
        <v>7.6761</v>
      </c>
      <c r="O64" s="25" t="str">
        <f aca="false">IF(A64="","",LEFT(A64,7))</f>
        <v>2026-08</v>
      </c>
    </row>
    <row r="65" customFormat="false" ht="15" hidden="false" customHeight="false" outlineLevel="0" collapsed="false">
      <c r="A65" s="15" t="s">
        <v>173</v>
      </c>
      <c r="B65" s="15" t="s">
        <v>175</v>
      </c>
      <c r="C65" s="15" t="s">
        <v>73</v>
      </c>
      <c r="D65" s="28" t="n">
        <v>1</v>
      </c>
      <c r="E65" s="29" t="n">
        <v>12</v>
      </c>
      <c r="F65" s="29" t="n">
        <v>0</v>
      </c>
      <c r="G65" s="29" t="n">
        <v>0.84</v>
      </c>
      <c r="H65" s="30" t="n">
        <f aca="false">D65*E65+F65</f>
        <v>12</v>
      </c>
      <c r="I65" s="30" t="n">
        <f aca="false">H65*Settings!$B$5</f>
        <v>0.78</v>
      </c>
      <c r="J65" s="30" t="n">
        <f aca="false">(H65+G65)*Settings!$B$6+Settings!$B$7</f>
        <v>0.6352</v>
      </c>
      <c r="K65" s="30" t="n">
        <f aca="false">Settings!$B$8*D65</f>
        <v>0.2</v>
      </c>
      <c r="L65" s="15"/>
      <c r="M65" s="30" t="n">
        <f aca="false">IF(L65="Y",H65*Settings!$B$9,0)</f>
        <v>0</v>
      </c>
      <c r="N65" s="30" t="n">
        <f aca="false">H65-I65-J65-K65-M65</f>
        <v>10.3848</v>
      </c>
      <c r="O65" s="25" t="str">
        <f aca="false">IF(A65="","",LEFT(A65,7))</f>
        <v>2026-08</v>
      </c>
    </row>
    <row r="66" customFormat="false" ht="15" hidden="false" customHeight="false" outlineLevel="0" collapsed="false">
      <c r="A66" s="15"/>
      <c r="B66" s="15"/>
      <c r="C66" s="15"/>
      <c r="D66" s="28"/>
      <c r="E66" s="29"/>
      <c r="F66" s="29"/>
      <c r="G66" s="29"/>
      <c r="H66" s="30" t="str">
        <f aca="false">IF(A66="","",D66*E66+F66)</f>
        <v/>
      </c>
      <c r="I66" s="30" t="str">
        <f aca="false">IF(A66="","",H66*Settings!$B$5)</f>
        <v/>
      </c>
      <c r="J66" s="30" t="str">
        <f aca="false">IF(A66="","",(H66+G66)*Settings!$B$6+Settings!$B$7)</f>
        <v/>
      </c>
      <c r="K66" s="30" t="str">
        <f aca="false">IF(A66="","",Settings!$B$8*D66)</f>
        <v/>
      </c>
      <c r="L66" s="15"/>
      <c r="M66" s="30" t="str">
        <f aca="false">IF(A66="","",IF(L66="Y",H66*Settings!$B$9,0))</f>
        <v/>
      </c>
      <c r="N66" s="30" t="str">
        <f aca="false">IF(A66="","",H66-I66-J66-K66-M66)</f>
        <v/>
      </c>
      <c r="O66" s="25" t="str">
        <f aca="false">IF(A66="","",LEFT(A66,7))</f>
        <v/>
      </c>
    </row>
    <row r="67" customFormat="false" ht="15" hidden="false" customHeight="false" outlineLevel="0" collapsed="false">
      <c r="A67" s="15"/>
      <c r="B67" s="15"/>
      <c r="C67" s="15"/>
      <c r="D67" s="28"/>
      <c r="E67" s="29"/>
      <c r="F67" s="29"/>
      <c r="G67" s="29"/>
      <c r="H67" s="30" t="str">
        <f aca="false">IF(A67="","",D67*E67+F67)</f>
        <v/>
      </c>
      <c r="I67" s="30" t="str">
        <f aca="false">IF(A67="","",H67*Settings!$B$5)</f>
        <v/>
      </c>
      <c r="J67" s="30" t="str">
        <f aca="false">IF(A67="","",(H67+G67)*Settings!$B$6+Settings!$B$7)</f>
        <v/>
      </c>
      <c r="K67" s="30" t="str">
        <f aca="false">IF(A67="","",Settings!$B$8*D67)</f>
        <v/>
      </c>
      <c r="L67" s="15"/>
      <c r="M67" s="30" t="str">
        <f aca="false">IF(A67="","",IF(L67="Y",H67*Settings!$B$9,0))</f>
        <v/>
      </c>
      <c r="N67" s="30" t="str">
        <f aca="false">IF(A67="","",H67-I67-J67-K67-M67)</f>
        <v/>
      </c>
      <c r="O67" s="25" t="str">
        <f aca="false">IF(A67="","",LEFT(A67,7))</f>
        <v/>
      </c>
    </row>
    <row r="68" customFormat="false" ht="15" hidden="false" customHeight="false" outlineLevel="0" collapsed="false">
      <c r="A68" s="15"/>
      <c r="B68" s="15"/>
      <c r="C68" s="15"/>
      <c r="D68" s="28"/>
      <c r="E68" s="29"/>
      <c r="F68" s="29"/>
      <c r="G68" s="29"/>
      <c r="H68" s="30" t="str">
        <f aca="false">IF(A68="","",D68*E68+F68)</f>
        <v/>
      </c>
      <c r="I68" s="30" t="str">
        <f aca="false">IF(A68="","",H68*Settings!$B$5)</f>
        <v/>
      </c>
      <c r="J68" s="30" t="str">
        <f aca="false">IF(A68="","",(H68+G68)*Settings!$B$6+Settings!$B$7)</f>
        <v/>
      </c>
      <c r="K68" s="30" t="str">
        <f aca="false">IF(A68="","",Settings!$B$8*D68)</f>
        <v/>
      </c>
      <c r="L68" s="15"/>
      <c r="M68" s="30" t="str">
        <f aca="false">IF(A68="","",IF(L68="Y",H68*Settings!$B$9,0))</f>
        <v/>
      </c>
      <c r="N68" s="30" t="str">
        <f aca="false">IF(A68="","",H68-I68-J68-K68-M68)</f>
        <v/>
      </c>
      <c r="O68" s="25" t="str">
        <f aca="false">IF(A68="","",LEFT(A68,7))</f>
        <v/>
      </c>
    </row>
    <row r="69" customFormat="false" ht="15" hidden="false" customHeight="false" outlineLevel="0" collapsed="false">
      <c r="A69" s="15"/>
      <c r="B69" s="15"/>
      <c r="C69" s="15"/>
      <c r="D69" s="28"/>
      <c r="E69" s="29"/>
      <c r="F69" s="29"/>
      <c r="G69" s="29"/>
      <c r="H69" s="30" t="str">
        <f aca="false">IF(A69="","",D69*E69+F69)</f>
        <v/>
      </c>
      <c r="I69" s="30" t="str">
        <f aca="false">IF(A69="","",H69*Settings!$B$5)</f>
        <v/>
      </c>
      <c r="J69" s="30" t="str">
        <f aca="false">IF(A69="","",(H69+G69)*Settings!$B$6+Settings!$B$7)</f>
        <v/>
      </c>
      <c r="K69" s="30" t="str">
        <f aca="false">IF(A69="","",Settings!$B$8*D69)</f>
        <v/>
      </c>
      <c r="L69" s="15"/>
      <c r="M69" s="30" t="str">
        <f aca="false">IF(A69="","",IF(L69="Y",H69*Settings!$B$9,0))</f>
        <v/>
      </c>
      <c r="N69" s="30" t="str">
        <f aca="false">IF(A69="","",H69-I69-J69-K69-M69)</f>
        <v/>
      </c>
      <c r="O69" s="25" t="str">
        <f aca="false">IF(A69="","",LEFT(A69,7))</f>
        <v/>
      </c>
    </row>
    <row r="70" customFormat="false" ht="15" hidden="false" customHeight="false" outlineLevel="0" collapsed="false">
      <c r="A70" s="15"/>
      <c r="B70" s="15"/>
      <c r="C70" s="15"/>
      <c r="D70" s="28"/>
      <c r="E70" s="29"/>
      <c r="F70" s="29"/>
      <c r="G70" s="29"/>
      <c r="H70" s="30" t="str">
        <f aca="false">IF(A70="","",D70*E70+F70)</f>
        <v/>
      </c>
      <c r="I70" s="30" t="str">
        <f aca="false">IF(A70="","",H70*Settings!$B$5)</f>
        <v/>
      </c>
      <c r="J70" s="30" t="str">
        <f aca="false">IF(A70="","",(H70+G70)*Settings!$B$6+Settings!$B$7)</f>
        <v/>
      </c>
      <c r="K70" s="30" t="str">
        <f aca="false">IF(A70="","",Settings!$B$8*D70)</f>
        <v/>
      </c>
      <c r="L70" s="15"/>
      <c r="M70" s="30" t="str">
        <f aca="false">IF(A70="","",IF(L70="Y",H70*Settings!$B$9,0))</f>
        <v/>
      </c>
      <c r="N70" s="30" t="str">
        <f aca="false">IF(A70="","",H70-I70-J70-K70-M70)</f>
        <v/>
      </c>
      <c r="O70" s="25" t="str">
        <f aca="false">IF(A70="","",LEFT(A70,7))</f>
        <v/>
      </c>
    </row>
    <row r="71" customFormat="false" ht="15" hidden="false" customHeight="false" outlineLevel="0" collapsed="false">
      <c r="A71" s="15"/>
      <c r="B71" s="15"/>
      <c r="C71" s="15"/>
      <c r="D71" s="28"/>
      <c r="E71" s="29"/>
      <c r="F71" s="29"/>
      <c r="G71" s="29"/>
      <c r="H71" s="30" t="str">
        <f aca="false">IF(A71="","",D71*E71+F71)</f>
        <v/>
      </c>
      <c r="I71" s="30" t="str">
        <f aca="false">IF(A71="","",H71*Settings!$B$5)</f>
        <v/>
      </c>
      <c r="J71" s="30" t="str">
        <f aca="false">IF(A71="","",(H71+G71)*Settings!$B$6+Settings!$B$7)</f>
        <v/>
      </c>
      <c r="K71" s="30" t="str">
        <f aca="false">IF(A71="","",Settings!$B$8*D71)</f>
        <v/>
      </c>
      <c r="L71" s="15"/>
      <c r="M71" s="30" t="str">
        <f aca="false">IF(A71="","",IF(L71="Y",H71*Settings!$B$9,0))</f>
        <v/>
      </c>
      <c r="N71" s="30" t="str">
        <f aca="false">IF(A71="","",H71-I71-J71-K71-M71)</f>
        <v/>
      </c>
      <c r="O71" s="25" t="str">
        <f aca="false">IF(A71="","",LEFT(A71,7))</f>
        <v/>
      </c>
    </row>
    <row r="72" customFormat="false" ht="15" hidden="false" customHeight="false" outlineLevel="0" collapsed="false">
      <c r="A72" s="15"/>
      <c r="B72" s="15"/>
      <c r="C72" s="15"/>
      <c r="D72" s="28"/>
      <c r="E72" s="29"/>
      <c r="F72" s="29"/>
      <c r="G72" s="29"/>
      <c r="H72" s="30" t="str">
        <f aca="false">IF(A72="","",D72*E72+F72)</f>
        <v/>
      </c>
      <c r="I72" s="30" t="str">
        <f aca="false">IF(A72="","",H72*Settings!$B$5)</f>
        <v/>
      </c>
      <c r="J72" s="30" t="str">
        <f aca="false">IF(A72="","",(H72+G72)*Settings!$B$6+Settings!$B$7)</f>
        <v/>
      </c>
      <c r="K72" s="30" t="str">
        <f aca="false">IF(A72="","",Settings!$B$8*D72)</f>
        <v/>
      </c>
      <c r="L72" s="15"/>
      <c r="M72" s="30" t="str">
        <f aca="false">IF(A72="","",IF(L72="Y",H72*Settings!$B$9,0))</f>
        <v/>
      </c>
      <c r="N72" s="30" t="str">
        <f aca="false">IF(A72="","",H72-I72-J72-K72-M72)</f>
        <v/>
      </c>
      <c r="O72" s="25" t="str">
        <f aca="false">IF(A72="","",LEFT(A72,7))</f>
        <v/>
      </c>
    </row>
    <row r="73" customFormat="false" ht="15" hidden="false" customHeight="false" outlineLevel="0" collapsed="false">
      <c r="A73" s="15"/>
      <c r="B73" s="15"/>
      <c r="C73" s="15"/>
      <c r="D73" s="28"/>
      <c r="E73" s="29"/>
      <c r="F73" s="29"/>
      <c r="G73" s="29"/>
      <c r="H73" s="30" t="str">
        <f aca="false">IF(A73="","",D73*E73+F73)</f>
        <v/>
      </c>
      <c r="I73" s="30" t="str">
        <f aca="false">IF(A73="","",H73*Settings!$B$5)</f>
        <v/>
      </c>
      <c r="J73" s="30" t="str">
        <f aca="false">IF(A73="","",(H73+G73)*Settings!$B$6+Settings!$B$7)</f>
        <v/>
      </c>
      <c r="K73" s="30" t="str">
        <f aca="false">IF(A73="","",Settings!$B$8*D73)</f>
        <v/>
      </c>
      <c r="L73" s="15"/>
      <c r="M73" s="30" t="str">
        <f aca="false">IF(A73="","",IF(L73="Y",H73*Settings!$B$9,0))</f>
        <v/>
      </c>
      <c r="N73" s="30" t="str">
        <f aca="false">IF(A73="","",H73-I73-J73-K73-M73)</f>
        <v/>
      </c>
      <c r="O73" s="25" t="str">
        <f aca="false">IF(A73="","",LEFT(A73,7))</f>
        <v/>
      </c>
    </row>
    <row r="74" customFormat="false" ht="15" hidden="false" customHeight="false" outlineLevel="0" collapsed="false">
      <c r="A74" s="15"/>
      <c r="B74" s="15"/>
      <c r="C74" s="15"/>
      <c r="D74" s="28"/>
      <c r="E74" s="29"/>
      <c r="F74" s="29"/>
      <c r="G74" s="29"/>
      <c r="H74" s="30" t="str">
        <f aca="false">IF(A74="","",D74*E74+F74)</f>
        <v/>
      </c>
      <c r="I74" s="30" t="str">
        <f aca="false">IF(A74="","",H74*Settings!$B$5)</f>
        <v/>
      </c>
      <c r="J74" s="30" t="str">
        <f aca="false">IF(A74="","",(H74+G74)*Settings!$B$6+Settings!$B$7)</f>
        <v/>
      </c>
      <c r="K74" s="30" t="str">
        <f aca="false">IF(A74="","",Settings!$B$8*D74)</f>
        <v/>
      </c>
      <c r="L74" s="15"/>
      <c r="M74" s="30" t="str">
        <f aca="false">IF(A74="","",IF(L74="Y",H74*Settings!$B$9,0))</f>
        <v/>
      </c>
      <c r="N74" s="30" t="str">
        <f aca="false">IF(A74="","",H74-I74-J74-K74-M74)</f>
        <v/>
      </c>
      <c r="O74" s="25" t="str">
        <f aca="false">IF(A74="","",LEFT(A74,7))</f>
        <v/>
      </c>
    </row>
    <row r="75" customFormat="false" ht="15" hidden="false" customHeight="false" outlineLevel="0" collapsed="false">
      <c r="A75" s="15"/>
      <c r="B75" s="15"/>
      <c r="C75" s="15"/>
      <c r="D75" s="28"/>
      <c r="E75" s="29"/>
      <c r="F75" s="29"/>
      <c r="G75" s="29"/>
      <c r="H75" s="30" t="str">
        <f aca="false">IF(A75="","",D75*E75+F75)</f>
        <v/>
      </c>
      <c r="I75" s="30" t="str">
        <f aca="false">IF(A75="","",H75*Settings!$B$5)</f>
        <v/>
      </c>
      <c r="J75" s="30" t="str">
        <f aca="false">IF(A75="","",(H75+G75)*Settings!$B$6+Settings!$B$7)</f>
        <v/>
      </c>
      <c r="K75" s="30" t="str">
        <f aca="false">IF(A75="","",Settings!$B$8*D75)</f>
        <v/>
      </c>
      <c r="L75" s="15"/>
      <c r="M75" s="30" t="str">
        <f aca="false">IF(A75="","",IF(L75="Y",H75*Settings!$B$9,0))</f>
        <v/>
      </c>
      <c r="N75" s="30" t="str">
        <f aca="false">IF(A75="","",H75-I75-J75-K75-M75)</f>
        <v/>
      </c>
      <c r="O75" s="25" t="str">
        <f aca="false">IF(A75="","",LEFT(A75,7))</f>
        <v/>
      </c>
    </row>
    <row r="76" customFormat="false" ht="15" hidden="false" customHeight="false" outlineLevel="0" collapsed="false">
      <c r="A76" s="15"/>
      <c r="B76" s="15"/>
      <c r="C76" s="15"/>
      <c r="D76" s="28"/>
      <c r="E76" s="29"/>
      <c r="F76" s="29"/>
      <c r="G76" s="29"/>
      <c r="H76" s="30" t="str">
        <f aca="false">IF(A76="","",D76*E76+F76)</f>
        <v/>
      </c>
      <c r="I76" s="30" t="str">
        <f aca="false">IF(A76="","",H76*Settings!$B$5)</f>
        <v/>
      </c>
      <c r="J76" s="30" t="str">
        <f aca="false">IF(A76="","",(H76+G76)*Settings!$B$6+Settings!$B$7)</f>
        <v/>
      </c>
      <c r="K76" s="30" t="str">
        <f aca="false">IF(A76="","",Settings!$B$8*D76)</f>
        <v/>
      </c>
      <c r="L76" s="15"/>
      <c r="M76" s="30" t="str">
        <f aca="false">IF(A76="","",IF(L76="Y",H76*Settings!$B$9,0))</f>
        <v/>
      </c>
      <c r="N76" s="30" t="str">
        <f aca="false">IF(A76="","",H76-I76-J76-K76-M76)</f>
        <v/>
      </c>
      <c r="O76" s="25" t="str">
        <f aca="false">IF(A76="","",LEFT(A76,7))</f>
        <v/>
      </c>
    </row>
    <row r="77" customFormat="false" ht="15" hidden="false" customHeight="false" outlineLevel="0" collapsed="false">
      <c r="A77" s="15"/>
      <c r="B77" s="15"/>
      <c r="C77" s="15"/>
      <c r="D77" s="28"/>
      <c r="E77" s="29"/>
      <c r="F77" s="29"/>
      <c r="G77" s="29"/>
      <c r="H77" s="30" t="str">
        <f aca="false">IF(A77="","",D77*E77+F77)</f>
        <v/>
      </c>
      <c r="I77" s="30" t="str">
        <f aca="false">IF(A77="","",H77*Settings!$B$5)</f>
        <v/>
      </c>
      <c r="J77" s="30" t="str">
        <f aca="false">IF(A77="","",(H77+G77)*Settings!$B$6+Settings!$B$7)</f>
        <v/>
      </c>
      <c r="K77" s="30" t="str">
        <f aca="false">IF(A77="","",Settings!$B$8*D77)</f>
        <v/>
      </c>
      <c r="L77" s="15"/>
      <c r="M77" s="30" t="str">
        <f aca="false">IF(A77="","",IF(L77="Y",H77*Settings!$B$9,0))</f>
        <v/>
      </c>
      <c r="N77" s="30" t="str">
        <f aca="false">IF(A77="","",H77-I77-J77-K77-M77)</f>
        <v/>
      </c>
      <c r="O77" s="25" t="str">
        <f aca="false">IF(A77="","",LEFT(A77,7))</f>
        <v/>
      </c>
    </row>
    <row r="78" customFormat="false" ht="15" hidden="false" customHeight="false" outlineLevel="0" collapsed="false">
      <c r="A78" s="15"/>
      <c r="B78" s="15"/>
      <c r="C78" s="15"/>
      <c r="D78" s="28"/>
      <c r="E78" s="29"/>
      <c r="F78" s="29"/>
      <c r="G78" s="29"/>
      <c r="H78" s="30" t="str">
        <f aca="false">IF(A78="","",D78*E78+F78)</f>
        <v/>
      </c>
      <c r="I78" s="30" t="str">
        <f aca="false">IF(A78="","",H78*Settings!$B$5)</f>
        <v/>
      </c>
      <c r="J78" s="30" t="str">
        <f aca="false">IF(A78="","",(H78+G78)*Settings!$B$6+Settings!$B$7)</f>
        <v/>
      </c>
      <c r="K78" s="30" t="str">
        <f aca="false">IF(A78="","",Settings!$B$8*D78)</f>
        <v/>
      </c>
      <c r="L78" s="15"/>
      <c r="M78" s="30" t="str">
        <f aca="false">IF(A78="","",IF(L78="Y",H78*Settings!$B$9,0))</f>
        <v/>
      </c>
      <c r="N78" s="30" t="str">
        <f aca="false">IF(A78="","",H78-I78-J78-K78-M78)</f>
        <v/>
      </c>
      <c r="O78" s="25" t="str">
        <f aca="false">IF(A78="","",LEFT(A78,7))</f>
        <v/>
      </c>
    </row>
    <row r="79" customFormat="false" ht="15" hidden="false" customHeight="false" outlineLevel="0" collapsed="false">
      <c r="A79" s="15"/>
      <c r="B79" s="15"/>
      <c r="C79" s="15"/>
      <c r="D79" s="28"/>
      <c r="E79" s="29"/>
      <c r="F79" s="29"/>
      <c r="G79" s="29"/>
      <c r="H79" s="30" t="str">
        <f aca="false">IF(A79="","",D79*E79+F79)</f>
        <v/>
      </c>
      <c r="I79" s="30" t="str">
        <f aca="false">IF(A79="","",H79*Settings!$B$5)</f>
        <v/>
      </c>
      <c r="J79" s="30" t="str">
        <f aca="false">IF(A79="","",(H79+G79)*Settings!$B$6+Settings!$B$7)</f>
        <v/>
      </c>
      <c r="K79" s="30" t="str">
        <f aca="false">IF(A79="","",Settings!$B$8*D79)</f>
        <v/>
      </c>
      <c r="L79" s="15"/>
      <c r="M79" s="30" t="str">
        <f aca="false">IF(A79="","",IF(L79="Y",H79*Settings!$B$9,0))</f>
        <v/>
      </c>
      <c r="N79" s="30" t="str">
        <f aca="false">IF(A79="","",H79-I79-J79-K79-M79)</f>
        <v/>
      </c>
      <c r="O79" s="25" t="str">
        <f aca="false">IF(A79="","",LEFT(A79,7))</f>
        <v/>
      </c>
    </row>
    <row r="80" customFormat="false" ht="15" hidden="false" customHeight="false" outlineLevel="0" collapsed="false">
      <c r="A80" s="15"/>
      <c r="B80" s="15"/>
      <c r="C80" s="15"/>
      <c r="D80" s="28"/>
      <c r="E80" s="29"/>
      <c r="F80" s="29"/>
      <c r="G80" s="29"/>
      <c r="H80" s="30" t="str">
        <f aca="false">IF(A80="","",D80*E80+F80)</f>
        <v/>
      </c>
      <c r="I80" s="30" t="str">
        <f aca="false">IF(A80="","",H80*Settings!$B$5)</f>
        <v/>
      </c>
      <c r="J80" s="30" t="str">
        <f aca="false">IF(A80="","",(H80+G80)*Settings!$B$6+Settings!$B$7)</f>
        <v/>
      </c>
      <c r="K80" s="30" t="str">
        <f aca="false">IF(A80="","",Settings!$B$8*D80)</f>
        <v/>
      </c>
      <c r="L80" s="15"/>
      <c r="M80" s="30" t="str">
        <f aca="false">IF(A80="","",IF(L80="Y",H80*Settings!$B$9,0))</f>
        <v/>
      </c>
      <c r="N80" s="30" t="str">
        <f aca="false">IF(A80="","",H80-I80-J80-K80-M80)</f>
        <v/>
      </c>
      <c r="O80" s="25" t="str">
        <f aca="false">IF(A80="","",LEFT(A80,7))</f>
        <v/>
      </c>
    </row>
    <row r="81" customFormat="false" ht="15" hidden="false" customHeight="false" outlineLevel="0" collapsed="false">
      <c r="A81" s="15"/>
      <c r="B81" s="15"/>
      <c r="C81" s="15"/>
      <c r="D81" s="28"/>
      <c r="E81" s="29"/>
      <c r="F81" s="29"/>
      <c r="G81" s="29"/>
      <c r="H81" s="30" t="str">
        <f aca="false">IF(A81="","",D81*E81+F81)</f>
        <v/>
      </c>
      <c r="I81" s="30" t="str">
        <f aca="false">IF(A81="","",H81*Settings!$B$5)</f>
        <v/>
      </c>
      <c r="J81" s="30" t="str">
        <f aca="false">IF(A81="","",(H81+G81)*Settings!$B$6+Settings!$B$7)</f>
        <v/>
      </c>
      <c r="K81" s="30" t="str">
        <f aca="false">IF(A81="","",Settings!$B$8*D81)</f>
        <v/>
      </c>
      <c r="L81" s="15"/>
      <c r="M81" s="30" t="str">
        <f aca="false">IF(A81="","",IF(L81="Y",H81*Settings!$B$9,0))</f>
        <v/>
      </c>
      <c r="N81" s="30" t="str">
        <f aca="false">IF(A81="","",H81-I81-J81-K81-M81)</f>
        <v/>
      </c>
      <c r="O81" s="25" t="str">
        <f aca="false">IF(A81="","",LEFT(A81,7))</f>
        <v/>
      </c>
    </row>
    <row r="82" customFormat="false" ht="15" hidden="false" customHeight="false" outlineLevel="0" collapsed="false">
      <c r="A82" s="15"/>
      <c r="B82" s="15"/>
      <c r="C82" s="15"/>
      <c r="D82" s="28"/>
      <c r="E82" s="29"/>
      <c r="F82" s="29"/>
      <c r="G82" s="29"/>
      <c r="H82" s="30" t="str">
        <f aca="false">IF(A82="","",D82*E82+F82)</f>
        <v/>
      </c>
      <c r="I82" s="30" t="str">
        <f aca="false">IF(A82="","",H82*Settings!$B$5)</f>
        <v/>
      </c>
      <c r="J82" s="30" t="str">
        <f aca="false">IF(A82="","",(H82+G82)*Settings!$B$6+Settings!$B$7)</f>
        <v/>
      </c>
      <c r="K82" s="30" t="str">
        <f aca="false">IF(A82="","",Settings!$B$8*D82)</f>
        <v/>
      </c>
      <c r="L82" s="15"/>
      <c r="M82" s="30" t="str">
        <f aca="false">IF(A82="","",IF(L82="Y",H82*Settings!$B$9,0))</f>
        <v/>
      </c>
      <c r="N82" s="30" t="str">
        <f aca="false">IF(A82="","",H82-I82-J82-K82-M82)</f>
        <v/>
      </c>
      <c r="O82" s="25" t="str">
        <f aca="false">IF(A82="","",LEFT(A82,7))</f>
        <v/>
      </c>
    </row>
    <row r="83" customFormat="false" ht="15" hidden="false" customHeight="false" outlineLevel="0" collapsed="false">
      <c r="A83" s="15"/>
      <c r="B83" s="15"/>
      <c r="C83" s="15"/>
      <c r="D83" s="28"/>
      <c r="E83" s="29"/>
      <c r="F83" s="29"/>
      <c r="G83" s="29"/>
      <c r="H83" s="30" t="str">
        <f aca="false">IF(A83="","",D83*E83+F83)</f>
        <v/>
      </c>
      <c r="I83" s="30" t="str">
        <f aca="false">IF(A83="","",H83*Settings!$B$5)</f>
        <v/>
      </c>
      <c r="J83" s="30" t="str">
        <f aca="false">IF(A83="","",(H83+G83)*Settings!$B$6+Settings!$B$7)</f>
        <v/>
      </c>
      <c r="K83" s="30" t="str">
        <f aca="false">IF(A83="","",Settings!$B$8*D83)</f>
        <v/>
      </c>
      <c r="L83" s="15"/>
      <c r="M83" s="30" t="str">
        <f aca="false">IF(A83="","",IF(L83="Y",H83*Settings!$B$9,0))</f>
        <v/>
      </c>
      <c r="N83" s="30" t="str">
        <f aca="false">IF(A83="","",H83-I83-J83-K83-M83)</f>
        <v/>
      </c>
      <c r="O83" s="25" t="str">
        <f aca="false">IF(A83="","",LEFT(A83,7))</f>
        <v/>
      </c>
    </row>
    <row r="84" customFormat="false" ht="15" hidden="false" customHeight="false" outlineLevel="0" collapsed="false">
      <c r="A84" s="15"/>
      <c r="B84" s="15"/>
      <c r="C84" s="15"/>
      <c r="D84" s="28"/>
      <c r="E84" s="29"/>
      <c r="F84" s="29"/>
      <c r="G84" s="29"/>
      <c r="H84" s="30" t="str">
        <f aca="false">IF(A84="","",D84*E84+F84)</f>
        <v/>
      </c>
      <c r="I84" s="30" t="str">
        <f aca="false">IF(A84="","",H84*Settings!$B$5)</f>
        <v/>
      </c>
      <c r="J84" s="30" t="str">
        <f aca="false">IF(A84="","",(H84+G84)*Settings!$B$6+Settings!$B$7)</f>
        <v/>
      </c>
      <c r="K84" s="30" t="str">
        <f aca="false">IF(A84="","",Settings!$B$8*D84)</f>
        <v/>
      </c>
      <c r="L84" s="15"/>
      <c r="M84" s="30" t="str">
        <f aca="false">IF(A84="","",IF(L84="Y",H84*Settings!$B$9,0))</f>
        <v/>
      </c>
      <c r="N84" s="30" t="str">
        <f aca="false">IF(A84="","",H84-I84-J84-K84-M84)</f>
        <v/>
      </c>
      <c r="O84" s="25" t="str">
        <f aca="false">IF(A84="","",LEFT(A84,7))</f>
        <v/>
      </c>
    </row>
    <row r="85" customFormat="false" ht="15" hidden="false" customHeight="false" outlineLevel="0" collapsed="false">
      <c r="A85" s="15"/>
      <c r="B85" s="15"/>
      <c r="C85" s="15"/>
      <c r="D85" s="28"/>
      <c r="E85" s="29"/>
      <c r="F85" s="29"/>
      <c r="G85" s="29"/>
      <c r="H85" s="30" t="str">
        <f aca="false">IF(A85="","",D85*E85+F85)</f>
        <v/>
      </c>
      <c r="I85" s="30" t="str">
        <f aca="false">IF(A85="","",H85*Settings!$B$5)</f>
        <v/>
      </c>
      <c r="J85" s="30" t="str">
        <f aca="false">IF(A85="","",(H85+G85)*Settings!$B$6+Settings!$B$7)</f>
        <v/>
      </c>
      <c r="K85" s="30" t="str">
        <f aca="false">IF(A85="","",Settings!$B$8*D85)</f>
        <v/>
      </c>
      <c r="L85" s="15"/>
      <c r="M85" s="30" t="str">
        <f aca="false">IF(A85="","",IF(L85="Y",H85*Settings!$B$9,0))</f>
        <v/>
      </c>
      <c r="N85" s="30" t="str">
        <f aca="false">IF(A85="","",H85-I85-J85-K85-M85)</f>
        <v/>
      </c>
      <c r="O85" s="25" t="str">
        <f aca="false">IF(A85="","",LEFT(A85,7))</f>
        <v/>
      </c>
    </row>
    <row r="86" customFormat="false" ht="15" hidden="false" customHeight="false" outlineLevel="0" collapsed="false">
      <c r="A86" s="15"/>
      <c r="B86" s="15"/>
      <c r="C86" s="15"/>
      <c r="D86" s="28"/>
      <c r="E86" s="29"/>
      <c r="F86" s="29"/>
      <c r="G86" s="29"/>
      <c r="H86" s="30" t="str">
        <f aca="false">IF(A86="","",D86*E86+F86)</f>
        <v/>
      </c>
      <c r="I86" s="30" t="str">
        <f aca="false">IF(A86="","",H86*Settings!$B$5)</f>
        <v/>
      </c>
      <c r="J86" s="30" t="str">
        <f aca="false">IF(A86="","",(H86+G86)*Settings!$B$6+Settings!$B$7)</f>
        <v/>
      </c>
      <c r="K86" s="30" t="str">
        <f aca="false">IF(A86="","",Settings!$B$8*D86)</f>
        <v/>
      </c>
      <c r="L86" s="15"/>
      <c r="M86" s="30" t="str">
        <f aca="false">IF(A86="","",IF(L86="Y",H86*Settings!$B$9,0))</f>
        <v/>
      </c>
      <c r="N86" s="30" t="str">
        <f aca="false">IF(A86="","",H86-I86-J86-K86-M86)</f>
        <v/>
      </c>
      <c r="O86" s="25" t="str">
        <f aca="false">IF(A86="","",LEFT(A86,7))</f>
        <v/>
      </c>
    </row>
    <row r="87" customFormat="false" ht="15" hidden="false" customHeight="false" outlineLevel="0" collapsed="false">
      <c r="A87" s="15"/>
      <c r="B87" s="15"/>
      <c r="C87" s="15"/>
      <c r="D87" s="28"/>
      <c r="E87" s="29"/>
      <c r="F87" s="29"/>
      <c r="G87" s="29"/>
      <c r="H87" s="30" t="str">
        <f aca="false">IF(A87="","",D87*E87+F87)</f>
        <v/>
      </c>
      <c r="I87" s="30" t="str">
        <f aca="false">IF(A87="","",H87*Settings!$B$5)</f>
        <v/>
      </c>
      <c r="J87" s="30" t="str">
        <f aca="false">IF(A87="","",(H87+G87)*Settings!$B$6+Settings!$B$7)</f>
        <v/>
      </c>
      <c r="K87" s="30" t="str">
        <f aca="false">IF(A87="","",Settings!$B$8*D87)</f>
        <v/>
      </c>
      <c r="L87" s="15"/>
      <c r="M87" s="30" t="str">
        <f aca="false">IF(A87="","",IF(L87="Y",H87*Settings!$B$9,0))</f>
        <v/>
      </c>
      <c r="N87" s="30" t="str">
        <f aca="false">IF(A87="","",H87-I87-J87-K87-M87)</f>
        <v/>
      </c>
      <c r="O87" s="25" t="str">
        <f aca="false">IF(A87="","",LEFT(A87,7))</f>
        <v/>
      </c>
    </row>
    <row r="88" customFormat="false" ht="15" hidden="false" customHeight="false" outlineLevel="0" collapsed="false">
      <c r="A88" s="15"/>
      <c r="B88" s="15"/>
      <c r="C88" s="15"/>
      <c r="D88" s="28"/>
      <c r="E88" s="29"/>
      <c r="F88" s="29"/>
      <c r="G88" s="29"/>
      <c r="H88" s="30" t="str">
        <f aca="false">IF(A88="","",D88*E88+F88)</f>
        <v/>
      </c>
      <c r="I88" s="30" t="str">
        <f aca="false">IF(A88="","",H88*Settings!$B$5)</f>
        <v/>
      </c>
      <c r="J88" s="30" t="str">
        <f aca="false">IF(A88="","",(H88+G88)*Settings!$B$6+Settings!$B$7)</f>
        <v/>
      </c>
      <c r="K88" s="30" t="str">
        <f aca="false">IF(A88="","",Settings!$B$8*D88)</f>
        <v/>
      </c>
      <c r="L88" s="15"/>
      <c r="M88" s="30" t="str">
        <f aca="false">IF(A88="","",IF(L88="Y",H88*Settings!$B$9,0))</f>
        <v/>
      </c>
      <c r="N88" s="30" t="str">
        <f aca="false">IF(A88="","",H88-I88-J88-K88-M88)</f>
        <v/>
      </c>
      <c r="O88" s="25" t="str">
        <f aca="false">IF(A88="","",LEFT(A88,7))</f>
        <v/>
      </c>
    </row>
    <row r="89" customFormat="false" ht="15" hidden="false" customHeight="false" outlineLevel="0" collapsed="false">
      <c r="A89" s="15"/>
      <c r="B89" s="15"/>
      <c r="C89" s="15"/>
      <c r="D89" s="28"/>
      <c r="E89" s="29"/>
      <c r="F89" s="29"/>
      <c r="G89" s="29"/>
      <c r="H89" s="30" t="str">
        <f aca="false">IF(A89="","",D89*E89+F89)</f>
        <v/>
      </c>
      <c r="I89" s="30" t="str">
        <f aca="false">IF(A89="","",H89*Settings!$B$5)</f>
        <v/>
      </c>
      <c r="J89" s="30" t="str">
        <f aca="false">IF(A89="","",(H89+G89)*Settings!$B$6+Settings!$B$7)</f>
        <v/>
      </c>
      <c r="K89" s="30" t="str">
        <f aca="false">IF(A89="","",Settings!$B$8*D89)</f>
        <v/>
      </c>
      <c r="L89" s="15"/>
      <c r="M89" s="30" t="str">
        <f aca="false">IF(A89="","",IF(L89="Y",H89*Settings!$B$9,0))</f>
        <v/>
      </c>
      <c r="N89" s="30" t="str">
        <f aca="false">IF(A89="","",H89-I89-J89-K89-M89)</f>
        <v/>
      </c>
      <c r="O89" s="25" t="str">
        <f aca="false">IF(A89="","",LEFT(A89,7))</f>
        <v/>
      </c>
    </row>
    <row r="90" customFormat="false" ht="15" hidden="false" customHeight="false" outlineLevel="0" collapsed="false">
      <c r="A90" s="15"/>
      <c r="B90" s="15"/>
      <c r="C90" s="15"/>
      <c r="D90" s="28"/>
      <c r="E90" s="29"/>
      <c r="F90" s="29"/>
      <c r="G90" s="29"/>
      <c r="H90" s="30" t="str">
        <f aca="false">IF(A90="","",D90*E90+F90)</f>
        <v/>
      </c>
      <c r="I90" s="30" t="str">
        <f aca="false">IF(A90="","",H90*Settings!$B$5)</f>
        <v/>
      </c>
      <c r="J90" s="30" t="str">
        <f aca="false">IF(A90="","",(H90+G90)*Settings!$B$6+Settings!$B$7)</f>
        <v/>
      </c>
      <c r="K90" s="30" t="str">
        <f aca="false">IF(A90="","",Settings!$B$8*D90)</f>
        <v/>
      </c>
      <c r="L90" s="15"/>
      <c r="M90" s="30" t="str">
        <f aca="false">IF(A90="","",IF(L90="Y",H90*Settings!$B$9,0))</f>
        <v/>
      </c>
      <c r="N90" s="30" t="str">
        <f aca="false">IF(A90="","",H90-I90-J90-K90-M90)</f>
        <v/>
      </c>
      <c r="O90" s="25" t="str">
        <f aca="false">IF(A90="","",LEFT(A90,7))</f>
        <v/>
      </c>
    </row>
    <row r="91" customFormat="false" ht="15" hidden="false" customHeight="false" outlineLevel="0" collapsed="false">
      <c r="A91" s="15"/>
      <c r="B91" s="15"/>
      <c r="C91" s="15"/>
      <c r="D91" s="28"/>
      <c r="E91" s="29"/>
      <c r="F91" s="29"/>
      <c r="G91" s="29"/>
      <c r="H91" s="30" t="str">
        <f aca="false">IF(A91="","",D91*E91+F91)</f>
        <v/>
      </c>
      <c r="I91" s="30" t="str">
        <f aca="false">IF(A91="","",H91*Settings!$B$5)</f>
        <v/>
      </c>
      <c r="J91" s="30" t="str">
        <f aca="false">IF(A91="","",(H91+G91)*Settings!$B$6+Settings!$B$7)</f>
        <v/>
      </c>
      <c r="K91" s="30" t="str">
        <f aca="false">IF(A91="","",Settings!$B$8*D91)</f>
        <v/>
      </c>
      <c r="L91" s="15"/>
      <c r="M91" s="30" t="str">
        <f aca="false">IF(A91="","",IF(L91="Y",H91*Settings!$B$9,0))</f>
        <v/>
      </c>
      <c r="N91" s="30" t="str">
        <f aca="false">IF(A91="","",H91-I91-J91-K91-M91)</f>
        <v/>
      </c>
      <c r="O91" s="25" t="str">
        <f aca="false">IF(A91="","",LEFT(A91,7))</f>
        <v/>
      </c>
    </row>
    <row r="92" customFormat="false" ht="15" hidden="false" customHeight="false" outlineLevel="0" collapsed="false">
      <c r="A92" s="15"/>
      <c r="B92" s="15"/>
      <c r="C92" s="15"/>
      <c r="D92" s="28"/>
      <c r="E92" s="29"/>
      <c r="F92" s="29"/>
      <c r="G92" s="29"/>
      <c r="H92" s="30" t="str">
        <f aca="false">IF(A92="","",D92*E92+F92)</f>
        <v/>
      </c>
      <c r="I92" s="30" t="str">
        <f aca="false">IF(A92="","",H92*Settings!$B$5)</f>
        <v/>
      </c>
      <c r="J92" s="30" t="str">
        <f aca="false">IF(A92="","",(H92+G92)*Settings!$B$6+Settings!$B$7)</f>
        <v/>
      </c>
      <c r="K92" s="30" t="str">
        <f aca="false">IF(A92="","",Settings!$B$8*D92)</f>
        <v/>
      </c>
      <c r="L92" s="15"/>
      <c r="M92" s="30" t="str">
        <f aca="false">IF(A92="","",IF(L92="Y",H92*Settings!$B$9,0))</f>
        <v/>
      </c>
      <c r="N92" s="30" t="str">
        <f aca="false">IF(A92="","",H92-I92-J92-K92-M92)</f>
        <v/>
      </c>
      <c r="O92" s="25" t="str">
        <f aca="false">IF(A92="","",LEFT(A92,7))</f>
        <v/>
      </c>
    </row>
    <row r="93" customFormat="false" ht="15" hidden="false" customHeight="false" outlineLevel="0" collapsed="false">
      <c r="A93" s="15"/>
      <c r="B93" s="15"/>
      <c r="C93" s="15"/>
      <c r="D93" s="28"/>
      <c r="E93" s="29"/>
      <c r="F93" s="29"/>
      <c r="G93" s="29"/>
      <c r="H93" s="30" t="str">
        <f aca="false">IF(A93="","",D93*E93+F93)</f>
        <v/>
      </c>
      <c r="I93" s="30" t="str">
        <f aca="false">IF(A93="","",H93*Settings!$B$5)</f>
        <v/>
      </c>
      <c r="J93" s="30" t="str">
        <f aca="false">IF(A93="","",(H93+G93)*Settings!$B$6+Settings!$B$7)</f>
        <v/>
      </c>
      <c r="K93" s="30" t="str">
        <f aca="false">IF(A93="","",Settings!$B$8*D93)</f>
        <v/>
      </c>
      <c r="L93" s="15"/>
      <c r="M93" s="30" t="str">
        <f aca="false">IF(A93="","",IF(L93="Y",H93*Settings!$B$9,0))</f>
        <v/>
      </c>
      <c r="N93" s="30" t="str">
        <f aca="false">IF(A93="","",H93-I93-J93-K93-M93)</f>
        <v/>
      </c>
      <c r="O93" s="25" t="str">
        <f aca="false">IF(A93="","",LEFT(A93,7))</f>
        <v/>
      </c>
    </row>
    <row r="94" customFormat="false" ht="15" hidden="false" customHeight="false" outlineLevel="0" collapsed="false">
      <c r="A94" s="15"/>
      <c r="B94" s="15"/>
      <c r="C94" s="15"/>
      <c r="D94" s="28"/>
      <c r="E94" s="29"/>
      <c r="F94" s="29"/>
      <c r="G94" s="29"/>
      <c r="H94" s="30" t="str">
        <f aca="false">IF(A94="","",D94*E94+F94)</f>
        <v/>
      </c>
      <c r="I94" s="30" t="str">
        <f aca="false">IF(A94="","",H94*Settings!$B$5)</f>
        <v/>
      </c>
      <c r="J94" s="30" t="str">
        <f aca="false">IF(A94="","",(H94+G94)*Settings!$B$6+Settings!$B$7)</f>
        <v/>
      </c>
      <c r="K94" s="30" t="str">
        <f aca="false">IF(A94="","",Settings!$B$8*D94)</f>
        <v/>
      </c>
      <c r="L94" s="15"/>
      <c r="M94" s="30" t="str">
        <f aca="false">IF(A94="","",IF(L94="Y",H94*Settings!$B$9,0))</f>
        <v/>
      </c>
      <c r="N94" s="30" t="str">
        <f aca="false">IF(A94="","",H94-I94-J94-K94-M94)</f>
        <v/>
      </c>
      <c r="O94" s="25" t="str">
        <f aca="false">IF(A94="","",LEFT(A94,7))</f>
        <v/>
      </c>
    </row>
    <row r="95" customFormat="false" ht="15" hidden="false" customHeight="false" outlineLevel="0" collapsed="false">
      <c r="A95" s="15"/>
      <c r="B95" s="15"/>
      <c r="C95" s="15"/>
      <c r="D95" s="28"/>
      <c r="E95" s="29"/>
      <c r="F95" s="29"/>
      <c r="G95" s="29"/>
      <c r="H95" s="30" t="str">
        <f aca="false">IF(A95="","",D95*E95+F95)</f>
        <v/>
      </c>
      <c r="I95" s="30" t="str">
        <f aca="false">IF(A95="","",H95*Settings!$B$5)</f>
        <v/>
      </c>
      <c r="J95" s="30" t="str">
        <f aca="false">IF(A95="","",(H95+G95)*Settings!$B$6+Settings!$B$7)</f>
        <v/>
      </c>
      <c r="K95" s="30" t="str">
        <f aca="false">IF(A95="","",Settings!$B$8*D95)</f>
        <v/>
      </c>
      <c r="L95" s="15"/>
      <c r="M95" s="30" t="str">
        <f aca="false">IF(A95="","",IF(L95="Y",H95*Settings!$B$9,0))</f>
        <v/>
      </c>
      <c r="N95" s="30" t="str">
        <f aca="false">IF(A95="","",H95-I95-J95-K95-M95)</f>
        <v/>
      </c>
      <c r="O95" s="25" t="str">
        <f aca="false">IF(A95="","",LEFT(A95,7))</f>
        <v/>
      </c>
    </row>
    <row r="96" customFormat="false" ht="15" hidden="false" customHeight="false" outlineLevel="0" collapsed="false">
      <c r="A96" s="15"/>
      <c r="B96" s="15"/>
      <c r="C96" s="15"/>
      <c r="D96" s="28"/>
      <c r="E96" s="29"/>
      <c r="F96" s="29"/>
      <c r="G96" s="29"/>
      <c r="H96" s="30" t="str">
        <f aca="false">IF(A96="","",D96*E96+F96)</f>
        <v/>
      </c>
      <c r="I96" s="30" t="str">
        <f aca="false">IF(A96="","",H96*Settings!$B$5)</f>
        <v/>
      </c>
      <c r="J96" s="30" t="str">
        <f aca="false">IF(A96="","",(H96+G96)*Settings!$B$6+Settings!$B$7)</f>
        <v/>
      </c>
      <c r="K96" s="30" t="str">
        <f aca="false">IF(A96="","",Settings!$B$8*D96)</f>
        <v/>
      </c>
      <c r="L96" s="15"/>
      <c r="M96" s="30" t="str">
        <f aca="false">IF(A96="","",IF(L96="Y",H96*Settings!$B$9,0))</f>
        <v/>
      </c>
      <c r="N96" s="30" t="str">
        <f aca="false">IF(A96="","",H96-I96-J96-K96-M96)</f>
        <v/>
      </c>
      <c r="O96" s="25" t="str">
        <f aca="false">IF(A96="","",LEFT(A96,7))</f>
        <v/>
      </c>
    </row>
    <row r="97" customFormat="false" ht="15" hidden="false" customHeight="false" outlineLevel="0" collapsed="false">
      <c r="A97" s="15"/>
      <c r="B97" s="15"/>
      <c r="C97" s="15"/>
      <c r="D97" s="28"/>
      <c r="E97" s="29"/>
      <c r="F97" s="29"/>
      <c r="G97" s="29"/>
      <c r="H97" s="30" t="str">
        <f aca="false">IF(A97="","",D97*E97+F97)</f>
        <v/>
      </c>
      <c r="I97" s="30" t="str">
        <f aca="false">IF(A97="","",H97*Settings!$B$5)</f>
        <v/>
      </c>
      <c r="J97" s="30" t="str">
        <f aca="false">IF(A97="","",(H97+G97)*Settings!$B$6+Settings!$B$7)</f>
        <v/>
      </c>
      <c r="K97" s="30" t="str">
        <f aca="false">IF(A97="","",Settings!$B$8*D97)</f>
        <v/>
      </c>
      <c r="L97" s="15"/>
      <c r="M97" s="30" t="str">
        <f aca="false">IF(A97="","",IF(L97="Y",H97*Settings!$B$9,0))</f>
        <v/>
      </c>
      <c r="N97" s="30" t="str">
        <f aca="false">IF(A97="","",H97-I97-J97-K97-M97)</f>
        <v/>
      </c>
      <c r="O97" s="25" t="str">
        <f aca="false">IF(A97="","",LEFT(A97,7))</f>
        <v/>
      </c>
    </row>
    <row r="98" customFormat="false" ht="15" hidden="false" customHeight="false" outlineLevel="0" collapsed="false">
      <c r="A98" s="15"/>
      <c r="B98" s="15"/>
      <c r="C98" s="15"/>
      <c r="D98" s="28"/>
      <c r="E98" s="29"/>
      <c r="F98" s="29"/>
      <c r="G98" s="29"/>
      <c r="H98" s="30" t="str">
        <f aca="false">IF(A98="","",D98*E98+F98)</f>
        <v/>
      </c>
      <c r="I98" s="30" t="str">
        <f aca="false">IF(A98="","",H98*Settings!$B$5)</f>
        <v/>
      </c>
      <c r="J98" s="30" t="str">
        <f aca="false">IF(A98="","",(H98+G98)*Settings!$B$6+Settings!$B$7)</f>
        <v/>
      </c>
      <c r="K98" s="30" t="str">
        <f aca="false">IF(A98="","",Settings!$B$8*D98)</f>
        <v/>
      </c>
      <c r="L98" s="15"/>
      <c r="M98" s="30" t="str">
        <f aca="false">IF(A98="","",IF(L98="Y",H98*Settings!$B$9,0))</f>
        <v/>
      </c>
      <c r="N98" s="30" t="str">
        <f aca="false">IF(A98="","",H98-I98-J98-K98-M98)</f>
        <v/>
      </c>
      <c r="O98" s="25" t="str">
        <f aca="false">IF(A98="","",LEFT(A98,7))</f>
        <v/>
      </c>
    </row>
    <row r="99" customFormat="false" ht="15" hidden="false" customHeight="false" outlineLevel="0" collapsed="false">
      <c r="A99" s="15"/>
      <c r="B99" s="15"/>
      <c r="C99" s="15"/>
      <c r="D99" s="28"/>
      <c r="E99" s="29"/>
      <c r="F99" s="29"/>
      <c r="G99" s="29"/>
      <c r="H99" s="30" t="str">
        <f aca="false">IF(A99="","",D99*E99+F99)</f>
        <v/>
      </c>
      <c r="I99" s="30" t="str">
        <f aca="false">IF(A99="","",H99*Settings!$B$5)</f>
        <v/>
      </c>
      <c r="J99" s="30" t="str">
        <f aca="false">IF(A99="","",(H99+G99)*Settings!$B$6+Settings!$B$7)</f>
        <v/>
      </c>
      <c r="K99" s="30" t="str">
        <f aca="false">IF(A99="","",Settings!$B$8*D99)</f>
        <v/>
      </c>
      <c r="L99" s="15"/>
      <c r="M99" s="30" t="str">
        <f aca="false">IF(A99="","",IF(L99="Y",H99*Settings!$B$9,0))</f>
        <v/>
      </c>
      <c r="N99" s="30" t="str">
        <f aca="false">IF(A99="","",H99-I99-J99-K99-M99)</f>
        <v/>
      </c>
      <c r="O99" s="25" t="str">
        <f aca="false">IF(A99="","",LEFT(A99,7))</f>
        <v/>
      </c>
    </row>
    <row r="100" customFormat="false" ht="15" hidden="false" customHeight="false" outlineLevel="0" collapsed="false">
      <c r="A100" s="15"/>
      <c r="B100" s="15"/>
      <c r="C100" s="15"/>
      <c r="D100" s="28"/>
      <c r="E100" s="29"/>
      <c r="F100" s="29"/>
      <c r="G100" s="29"/>
      <c r="H100" s="30" t="str">
        <f aca="false">IF(A100="","",D100*E100+F100)</f>
        <v/>
      </c>
      <c r="I100" s="30" t="str">
        <f aca="false">IF(A100="","",H100*Settings!$B$5)</f>
        <v/>
      </c>
      <c r="J100" s="30" t="str">
        <f aca="false">IF(A100="","",(H100+G100)*Settings!$B$6+Settings!$B$7)</f>
        <v/>
      </c>
      <c r="K100" s="30" t="str">
        <f aca="false">IF(A100="","",Settings!$B$8*D100)</f>
        <v/>
      </c>
      <c r="L100" s="15"/>
      <c r="M100" s="30" t="str">
        <f aca="false">IF(A100="","",IF(L100="Y",H100*Settings!$B$9,0))</f>
        <v/>
      </c>
      <c r="N100" s="30" t="str">
        <f aca="false">IF(A100="","",H100-I100-J100-K100-M100)</f>
        <v/>
      </c>
      <c r="O100" s="25" t="str">
        <f aca="false">IF(A100="","",LEFT(A100,7))</f>
        <v/>
      </c>
    </row>
    <row r="101" customFormat="false" ht="15" hidden="false" customHeight="false" outlineLevel="0" collapsed="false">
      <c r="A101" s="15"/>
      <c r="B101" s="15"/>
      <c r="C101" s="15"/>
      <c r="D101" s="28"/>
      <c r="E101" s="29"/>
      <c r="F101" s="29"/>
      <c r="G101" s="29"/>
      <c r="H101" s="30" t="str">
        <f aca="false">IF(A101="","",D101*E101+F101)</f>
        <v/>
      </c>
      <c r="I101" s="30" t="str">
        <f aca="false">IF(A101="","",H101*Settings!$B$5)</f>
        <v/>
      </c>
      <c r="J101" s="30" t="str">
        <f aca="false">IF(A101="","",(H101+G101)*Settings!$B$6+Settings!$B$7)</f>
        <v/>
      </c>
      <c r="K101" s="30" t="str">
        <f aca="false">IF(A101="","",Settings!$B$8*D101)</f>
        <v/>
      </c>
      <c r="L101" s="15"/>
      <c r="M101" s="30" t="str">
        <f aca="false">IF(A101="","",IF(L101="Y",H101*Settings!$B$9,0))</f>
        <v/>
      </c>
      <c r="N101" s="30" t="str">
        <f aca="false">IF(A101="","",H101-I101-J101-K101-M101)</f>
        <v/>
      </c>
      <c r="O101" s="25" t="str">
        <f aca="false">IF(A101="","",LEFT(A101,7))</f>
        <v/>
      </c>
    </row>
    <row r="102" customFormat="false" ht="15" hidden="false" customHeight="false" outlineLevel="0" collapsed="false">
      <c r="A102" s="15"/>
      <c r="B102" s="15"/>
      <c r="C102" s="15"/>
      <c r="D102" s="28"/>
      <c r="E102" s="29"/>
      <c r="F102" s="29"/>
      <c r="G102" s="29"/>
      <c r="H102" s="30" t="str">
        <f aca="false">IF(A102="","",D102*E102+F102)</f>
        <v/>
      </c>
      <c r="I102" s="30" t="str">
        <f aca="false">IF(A102="","",H102*Settings!$B$5)</f>
        <v/>
      </c>
      <c r="J102" s="30" t="str">
        <f aca="false">IF(A102="","",(H102+G102)*Settings!$B$6+Settings!$B$7)</f>
        <v/>
      </c>
      <c r="K102" s="30" t="str">
        <f aca="false">IF(A102="","",Settings!$B$8*D102)</f>
        <v/>
      </c>
      <c r="L102" s="15"/>
      <c r="M102" s="30" t="str">
        <f aca="false">IF(A102="","",IF(L102="Y",H102*Settings!$B$9,0))</f>
        <v/>
      </c>
      <c r="N102" s="30" t="str">
        <f aca="false">IF(A102="","",H102-I102-J102-K102-M102)</f>
        <v/>
      </c>
      <c r="O102" s="25" t="str">
        <f aca="false">IF(A102="","",LEFT(A102,7))</f>
        <v/>
      </c>
    </row>
    <row r="103" customFormat="false" ht="15" hidden="false" customHeight="false" outlineLevel="0" collapsed="false">
      <c r="A103" s="15"/>
      <c r="B103" s="15"/>
      <c r="C103" s="15"/>
      <c r="D103" s="28"/>
      <c r="E103" s="29"/>
      <c r="F103" s="29"/>
      <c r="G103" s="29"/>
      <c r="H103" s="30" t="str">
        <f aca="false">IF(A103="","",D103*E103+F103)</f>
        <v/>
      </c>
      <c r="I103" s="30" t="str">
        <f aca="false">IF(A103="","",H103*Settings!$B$5)</f>
        <v/>
      </c>
      <c r="J103" s="30" t="str">
        <f aca="false">IF(A103="","",(H103+G103)*Settings!$B$6+Settings!$B$7)</f>
        <v/>
      </c>
      <c r="K103" s="30" t="str">
        <f aca="false">IF(A103="","",Settings!$B$8*D103)</f>
        <v/>
      </c>
      <c r="L103" s="15"/>
      <c r="M103" s="30" t="str">
        <f aca="false">IF(A103="","",IF(L103="Y",H103*Settings!$B$9,0))</f>
        <v/>
      </c>
      <c r="N103" s="30" t="str">
        <f aca="false">IF(A103="","",H103-I103-J103-K103-M103)</f>
        <v/>
      </c>
      <c r="O103" s="25" t="str">
        <f aca="false">IF(A103="","",LEFT(A103,7))</f>
        <v/>
      </c>
    </row>
    <row r="104" customFormat="false" ht="15" hidden="false" customHeight="false" outlineLevel="0" collapsed="false">
      <c r="A104" s="15"/>
      <c r="B104" s="15"/>
      <c r="C104" s="15"/>
      <c r="D104" s="28"/>
      <c r="E104" s="29"/>
      <c r="F104" s="29"/>
      <c r="G104" s="29"/>
      <c r="H104" s="30" t="str">
        <f aca="false">IF(A104="","",D104*E104+F104)</f>
        <v/>
      </c>
      <c r="I104" s="30" t="str">
        <f aca="false">IF(A104="","",H104*Settings!$B$5)</f>
        <v/>
      </c>
      <c r="J104" s="30" t="str">
        <f aca="false">IF(A104="","",(H104+G104)*Settings!$B$6+Settings!$B$7)</f>
        <v/>
      </c>
      <c r="K104" s="30" t="str">
        <f aca="false">IF(A104="","",Settings!$B$8*D104)</f>
        <v/>
      </c>
      <c r="L104" s="15"/>
      <c r="M104" s="30" t="str">
        <f aca="false">IF(A104="","",IF(L104="Y",H104*Settings!$B$9,0))</f>
        <v/>
      </c>
      <c r="N104" s="30" t="str">
        <f aca="false">IF(A104="","",H104-I104-J104-K104-M104)</f>
        <v/>
      </c>
      <c r="O104" s="25" t="str">
        <f aca="false">IF(A104="","",LEFT(A104,7))</f>
        <v/>
      </c>
    </row>
    <row r="105" customFormat="false" ht="15" hidden="false" customHeight="false" outlineLevel="0" collapsed="false">
      <c r="A105" s="15"/>
      <c r="B105" s="15"/>
      <c r="C105" s="15"/>
      <c r="D105" s="28"/>
      <c r="E105" s="29"/>
      <c r="F105" s="29"/>
      <c r="G105" s="29"/>
      <c r="H105" s="30" t="str">
        <f aca="false">IF(A105="","",D105*E105+F105)</f>
        <v/>
      </c>
      <c r="I105" s="30" t="str">
        <f aca="false">IF(A105="","",H105*Settings!$B$5)</f>
        <v/>
      </c>
      <c r="J105" s="30" t="str">
        <f aca="false">IF(A105="","",(H105+G105)*Settings!$B$6+Settings!$B$7)</f>
        <v/>
      </c>
      <c r="K105" s="30" t="str">
        <f aca="false">IF(A105="","",Settings!$B$8*D105)</f>
        <v/>
      </c>
      <c r="L105" s="15"/>
      <c r="M105" s="30" t="str">
        <f aca="false">IF(A105="","",IF(L105="Y",H105*Settings!$B$9,0))</f>
        <v/>
      </c>
      <c r="N105" s="30" t="str">
        <f aca="false">IF(A105="","",H105-I105-J105-K105-M105)</f>
        <v/>
      </c>
      <c r="O105" s="25" t="str">
        <f aca="false">IF(A105="","",LEFT(A105,7))</f>
        <v/>
      </c>
    </row>
    <row r="106" customFormat="false" ht="15" hidden="false" customHeight="false" outlineLevel="0" collapsed="false">
      <c r="A106" s="15"/>
      <c r="B106" s="15"/>
      <c r="C106" s="15"/>
      <c r="D106" s="28"/>
      <c r="E106" s="29"/>
      <c r="F106" s="29"/>
      <c r="G106" s="29"/>
      <c r="H106" s="30" t="str">
        <f aca="false">IF(A106="","",D106*E106+F106)</f>
        <v/>
      </c>
      <c r="I106" s="30" t="str">
        <f aca="false">IF(A106="","",H106*Settings!$B$5)</f>
        <v/>
      </c>
      <c r="J106" s="30" t="str">
        <f aca="false">IF(A106="","",(H106+G106)*Settings!$B$6+Settings!$B$7)</f>
        <v/>
      </c>
      <c r="K106" s="30" t="str">
        <f aca="false">IF(A106="","",Settings!$B$8*D106)</f>
        <v/>
      </c>
      <c r="L106" s="15"/>
      <c r="M106" s="30" t="str">
        <f aca="false">IF(A106="","",IF(L106="Y",H106*Settings!$B$9,0))</f>
        <v/>
      </c>
      <c r="N106" s="30" t="str">
        <f aca="false">IF(A106="","",H106-I106-J106-K106-M106)</f>
        <v/>
      </c>
      <c r="O106" s="25" t="str">
        <f aca="false">IF(A106="","",LEFT(A106,7))</f>
        <v/>
      </c>
    </row>
    <row r="107" customFormat="false" ht="15" hidden="false" customHeight="false" outlineLevel="0" collapsed="false">
      <c r="A107" s="15"/>
      <c r="B107" s="15"/>
      <c r="C107" s="15"/>
      <c r="D107" s="28"/>
      <c r="E107" s="29"/>
      <c r="F107" s="29"/>
      <c r="G107" s="29"/>
      <c r="H107" s="30" t="str">
        <f aca="false">IF(A107="","",D107*E107+F107)</f>
        <v/>
      </c>
      <c r="I107" s="30" t="str">
        <f aca="false">IF(A107="","",H107*Settings!$B$5)</f>
        <v/>
      </c>
      <c r="J107" s="30" t="str">
        <f aca="false">IF(A107="","",(H107+G107)*Settings!$B$6+Settings!$B$7)</f>
        <v/>
      </c>
      <c r="K107" s="30" t="str">
        <f aca="false">IF(A107="","",Settings!$B$8*D107)</f>
        <v/>
      </c>
      <c r="L107" s="15"/>
      <c r="M107" s="30" t="str">
        <f aca="false">IF(A107="","",IF(L107="Y",H107*Settings!$B$9,0))</f>
        <v/>
      </c>
      <c r="N107" s="30" t="str">
        <f aca="false">IF(A107="","",H107-I107-J107-K107-M107)</f>
        <v/>
      </c>
      <c r="O107" s="25" t="str">
        <f aca="false">IF(A107="","",LEFT(A107,7))</f>
        <v/>
      </c>
    </row>
    <row r="108" customFormat="false" ht="15" hidden="false" customHeight="false" outlineLevel="0" collapsed="false">
      <c r="A108" s="15"/>
      <c r="B108" s="15"/>
      <c r="C108" s="15"/>
      <c r="D108" s="28"/>
      <c r="E108" s="29"/>
      <c r="F108" s="29"/>
      <c r="G108" s="29"/>
      <c r="H108" s="30" t="str">
        <f aca="false">IF(A108="","",D108*E108+F108)</f>
        <v/>
      </c>
      <c r="I108" s="30" t="str">
        <f aca="false">IF(A108="","",H108*Settings!$B$5)</f>
        <v/>
      </c>
      <c r="J108" s="30" t="str">
        <f aca="false">IF(A108="","",(H108+G108)*Settings!$B$6+Settings!$B$7)</f>
        <v/>
      </c>
      <c r="K108" s="30" t="str">
        <f aca="false">IF(A108="","",Settings!$B$8*D108)</f>
        <v/>
      </c>
      <c r="L108" s="15"/>
      <c r="M108" s="30" t="str">
        <f aca="false">IF(A108="","",IF(L108="Y",H108*Settings!$B$9,0))</f>
        <v/>
      </c>
      <c r="N108" s="30" t="str">
        <f aca="false">IF(A108="","",H108-I108-J108-K108-M108)</f>
        <v/>
      </c>
      <c r="O108" s="25" t="str">
        <f aca="false">IF(A108="","",LEFT(A108,7))</f>
        <v/>
      </c>
    </row>
    <row r="109" customFormat="false" ht="15" hidden="false" customHeight="false" outlineLevel="0" collapsed="false">
      <c r="A109" s="15"/>
      <c r="B109" s="15"/>
      <c r="C109" s="15"/>
      <c r="D109" s="28"/>
      <c r="E109" s="29"/>
      <c r="F109" s="29"/>
      <c r="G109" s="29"/>
      <c r="H109" s="30" t="str">
        <f aca="false">IF(A109="","",D109*E109+F109)</f>
        <v/>
      </c>
      <c r="I109" s="30" t="str">
        <f aca="false">IF(A109="","",H109*Settings!$B$5)</f>
        <v/>
      </c>
      <c r="J109" s="30" t="str">
        <f aca="false">IF(A109="","",(H109+G109)*Settings!$B$6+Settings!$B$7)</f>
        <v/>
      </c>
      <c r="K109" s="30" t="str">
        <f aca="false">IF(A109="","",Settings!$B$8*D109)</f>
        <v/>
      </c>
      <c r="L109" s="15"/>
      <c r="M109" s="30" t="str">
        <f aca="false">IF(A109="","",IF(L109="Y",H109*Settings!$B$9,0))</f>
        <v/>
      </c>
      <c r="N109" s="30" t="str">
        <f aca="false">IF(A109="","",H109-I109-J109-K109-M109)</f>
        <v/>
      </c>
      <c r="O109" s="25" t="str">
        <f aca="false">IF(A109="","",LEFT(A109,7))</f>
        <v/>
      </c>
    </row>
    <row r="110" customFormat="false" ht="15" hidden="false" customHeight="false" outlineLevel="0" collapsed="false">
      <c r="A110" s="15"/>
      <c r="B110" s="15"/>
      <c r="C110" s="15"/>
      <c r="D110" s="28"/>
      <c r="E110" s="29"/>
      <c r="F110" s="29"/>
      <c r="G110" s="29"/>
      <c r="H110" s="30" t="str">
        <f aca="false">IF(A110="","",D110*E110+F110)</f>
        <v/>
      </c>
      <c r="I110" s="30" t="str">
        <f aca="false">IF(A110="","",H110*Settings!$B$5)</f>
        <v/>
      </c>
      <c r="J110" s="30" t="str">
        <f aca="false">IF(A110="","",(H110+G110)*Settings!$B$6+Settings!$B$7)</f>
        <v/>
      </c>
      <c r="K110" s="30" t="str">
        <f aca="false">IF(A110="","",Settings!$B$8*D110)</f>
        <v/>
      </c>
      <c r="L110" s="15"/>
      <c r="M110" s="30" t="str">
        <f aca="false">IF(A110="","",IF(L110="Y",H110*Settings!$B$9,0))</f>
        <v/>
      </c>
      <c r="N110" s="30" t="str">
        <f aca="false">IF(A110="","",H110-I110-J110-K110-M110)</f>
        <v/>
      </c>
      <c r="O110" s="25" t="str">
        <f aca="false">IF(A110="","",LEFT(A110,7))</f>
        <v/>
      </c>
    </row>
    <row r="111" customFormat="false" ht="15" hidden="false" customHeight="false" outlineLevel="0" collapsed="false">
      <c r="A111" s="15"/>
      <c r="B111" s="15"/>
      <c r="C111" s="15"/>
      <c r="D111" s="28"/>
      <c r="E111" s="29"/>
      <c r="F111" s="29"/>
      <c r="G111" s="29"/>
      <c r="H111" s="30" t="str">
        <f aca="false">IF(A111="","",D111*E111+F111)</f>
        <v/>
      </c>
      <c r="I111" s="30" t="str">
        <f aca="false">IF(A111="","",H111*Settings!$B$5)</f>
        <v/>
      </c>
      <c r="J111" s="30" t="str">
        <f aca="false">IF(A111="","",(H111+G111)*Settings!$B$6+Settings!$B$7)</f>
        <v/>
      </c>
      <c r="K111" s="30" t="str">
        <f aca="false">IF(A111="","",Settings!$B$8*D111)</f>
        <v/>
      </c>
      <c r="L111" s="15"/>
      <c r="M111" s="30" t="str">
        <f aca="false">IF(A111="","",IF(L111="Y",H111*Settings!$B$9,0))</f>
        <v/>
      </c>
      <c r="N111" s="30" t="str">
        <f aca="false">IF(A111="","",H111-I111-J111-K111-M111)</f>
        <v/>
      </c>
      <c r="O111" s="25" t="str">
        <f aca="false">IF(A111="","",LEFT(A111,7))</f>
        <v/>
      </c>
    </row>
    <row r="112" customFormat="false" ht="15" hidden="false" customHeight="false" outlineLevel="0" collapsed="false">
      <c r="A112" s="15"/>
      <c r="B112" s="15"/>
      <c r="C112" s="15"/>
      <c r="D112" s="28"/>
      <c r="E112" s="29"/>
      <c r="F112" s="29"/>
      <c r="G112" s="29"/>
      <c r="H112" s="30" t="str">
        <f aca="false">IF(A112="","",D112*E112+F112)</f>
        <v/>
      </c>
      <c r="I112" s="30" t="str">
        <f aca="false">IF(A112="","",H112*Settings!$B$5)</f>
        <v/>
      </c>
      <c r="J112" s="30" t="str">
        <f aca="false">IF(A112="","",(H112+G112)*Settings!$B$6+Settings!$B$7)</f>
        <v/>
      </c>
      <c r="K112" s="30" t="str">
        <f aca="false">IF(A112="","",Settings!$B$8*D112)</f>
        <v/>
      </c>
      <c r="L112" s="15"/>
      <c r="M112" s="30" t="str">
        <f aca="false">IF(A112="","",IF(L112="Y",H112*Settings!$B$9,0))</f>
        <v/>
      </c>
      <c r="N112" s="30" t="str">
        <f aca="false">IF(A112="","",H112-I112-J112-K112-M112)</f>
        <v/>
      </c>
      <c r="O112" s="25" t="str">
        <f aca="false">IF(A112="","",LEFT(A112,7))</f>
        <v/>
      </c>
    </row>
    <row r="113" customFormat="false" ht="15" hidden="false" customHeight="false" outlineLevel="0" collapsed="false">
      <c r="A113" s="15"/>
      <c r="B113" s="15"/>
      <c r="C113" s="15"/>
      <c r="D113" s="28"/>
      <c r="E113" s="29"/>
      <c r="F113" s="29"/>
      <c r="G113" s="29"/>
      <c r="H113" s="30" t="str">
        <f aca="false">IF(A113="","",D113*E113+F113)</f>
        <v/>
      </c>
      <c r="I113" s="30" t="str">
        <f aca="false">IF(A113="","",H113*Settings!$B$5)</f>
        <v/>
      </c>
      <c r="J113" s="30" t="str">
        <f aca="false">IF(A113="","",(H113+G113)*Settings!$B$6+Settings!$B$7)</f>
        <v/>
      </c>
      <c r="K113" s="30" t="str">
        <f aca="false">IF(A113="","",Settings!$B$8*D113)</f>
        <v/>
      </c>
      <c r="L113" s="15"/>
      <c r="M113" s="30" t="str">
        <f aca="false">IF(A113="","",IF(L113="Y",H113*Settings!$B$9,0))</f>
        <v/>
      </c>
      <c r="N113" s="30" t="str">
        <f aca="false">IF(A113="","",H113-I113-J113-K113-M113)</f>
        <v/>
      </c>
      <c r="O113" s="25" t="str">
        <f aca="false">IF(A113="","",LEFT(A113,7))</f>
        <v/>
      </c>
    </row>
    <row r="114" customFormat="false" ht="15" hidden="false" customHeight="false" outlineLevel="0" collapsed="false">
      <c r="A114" s="15"/>
      <c r="B114" s="15"/>
      <c r="C114" s="15"/>
      <c r="D114" s="28"/>
      <c r="E114" s="29"/>
      <c r="F114" s="29"/>
      <c r="G114" s="29"/>
      <c r="H114" s="30" t="str">
        <f aca="false">IF(A114="","",D114*E114+F114)</f>
        <v/>
      </c>
      <c r="I114" s="30" t="str">
        <f aca="false">IF(A114="","",H114*Settings!$B$5)</f>
        <v/>
      </c>
      <c r="J114" s="30" t="str">
        <f aca="false">IF(A114="","",(H114+G114)*Settings!$B$6+Settings!$B$7)</f>
        <v/>
      </c>
      <c r="K114" s="30" t="str">
        <f aca="false">IF(A114="","",Settings!$B$8*D114)</f>
        <v/>
      </c>
      <c r="L114" s="15"/>
      <c r="M114" s="30" t="str">
        <f aca="false">IF(A114="","",IF(L114="Y",H114*Settings!$B$9,0))</f>
        <v/>
      </c>
      <c r="N114" s="30" t="str">
        <f aca="false">IF(A114="","",H114-I114-J114-K114-M114)</f>
        <v/>
      </c>
      <c r="O114" s="25" t="str">
        <f aca="false">IF(A114="","",LEFT(A114,7))</f>
        <v/>
      </c>
    </row>
    <row r="115" customFormat="false" ht="15" hidden="false" customHeight="false" outlineLevel="0" collapsed="false">
      <c r="A115" s="15"/>
      <c r="B115" s="15"/>
      <c r="C115" s="15"/>
      <c r="D115" s="28"/>
      <c r="E115" s="29"/>
      <c r="F115" s="29"/>
      <c r="G115" s="29"/>
      <c r="H115" s="30" t="str">
        <f aca="false">IF(A115="","",D115*E115+F115)</f>
        <v/>
      </c>
      <c r="I115" s="30" t="str">
        <f aca="false">IF(A115="","",H115*Settings!$B$5)</f>
        <v/>
      </c>
      <c r="J115" s="30" t="str">
        <f aca="false">IF(A115="","",(H115+G115)*Settings!$B$6+Settings!$B$7)</f>
        <v/>
      </c>
      <c r="K115" s="30" t="str">
        <f aca="false">IF(A115="","",Settings!$B$8*D115)</f>
        <v/>
      </c>
      <c r="L115" s="15"/>
      <c r="M115" s="30" t="str">
        <f aca="false">IF(A115="","",IF(L115="Y",H115*Settings!$B$9,0))</f>
        <v/>
      </c>
      <c r="N115" s="30" t="str">
        <f aca="false">IF(A115="","",H115-I115-J115-K115-M115)</f>
        <v/>
      </c>
      <c r="O115" s="25" t="str">
        <f aca="false">IF(A115="","",LEFT(A115,7))</f>
        <v/>
      </c>
    </row>
    <row r="116" customFormat="false" ht="15" hidden="false" customHeight="false" outlineLevel="0" collapsed="false">
      <c r="A116" s="15"/>
      <c r="B116" s="15"/>
      <c r="C116" s="15"/>
      <c r="D116" s="28"/>
      <c r="E116" s="29"/>
      <c r="F116" s="29"/>
      <c r="G116" s="29"/>
      <c r="H116" s="30" t="str">
        <f aca="false">IF(A116="","",D116*E116+F116)</f>
        <v/>
      </c>
      <c r="I116" s="30" t="str">
        <f aca="false">IF(A116="","",H116*Settings!$B$5)</f>
        <v/>
      </c>
      <c r="J116" s="30" t="str">
        <f aca="false">IF(A116="","",(H116+G116)*Settings!$B$6+Settings!$B$7)</f>
        <v/>
      </c>
      <c r="K116" s="30" t="str">
        <f aca="false">IF(A116="","",Settings!$B$8*D116)</f>
        <v/>
      </c>
      <c r="L116" s="15"/>
      <c r="M116" s="30" t="str">
        <f aca="false">IF(A116="","",IF(L116="Y",H116*Settings!$B$9,0))</f>
        <v/>
      </c>
      <c r="N116" s="30" t="str">
        <f aca="false">IF(A116="","",H116-I116-J116-K116-M116)</f>
        <v/>
      </c>
      <c r="O116" s="25" t="str">
        <f aca="false">IF(A116="","",LEFT(A116,7))</f>
        <v/>
      </c>
    </row>
    <row r="117" customFormat="false" ht="15" hidden="false" customHeight="false" outlineLevel="0" collapsed="false">
      <c r="A117" s="15"/>
      <c r="B117" s="15"/>
      <c r="C117" s="15"/>
      <c r="D117" s="28"/>
      <c r="E117" s="29"/>
      <c r="F117" s="29"/>
      <c r="G117" s="29"/>
      <c r="H117" s="30" t="str">
        <f aca="false">IF(A117="","",D117*E117+F117)</f>
        <v/>
      </c>
      <c r="I117" s="30" t="str">
        <f aca="false">IF(A117="","",H117*Settings!$B$5)</f>
        <v/>
      </c>
      <c r="J117" s="30" t="str">
        <f aca="false">IF(A117="","",(H117+G117)*Settings!$B$6+Settings!$B$7)</f>
        <v/>
      </c>
      <c r="K117" s="30" t="str">
        <f aca="false">IF(A117="","",Settings!$B$8*D117)</f>
        <v/>
      </c>
      <c r="L117" s="15"/>
      <c r="M117" s="30" t="str">
        <f aca="false">IF(A117="","",IF(L117="Y",H117*Settings!$B$9,0))</f>
        <v/>
      </c>
      <c r="N117" s="30" t="str">
        <f aca="false">IF(A117="","",H117-I117-J117-K117-M117)</f>
        <v/>
      </c>
      <c r="O117" s="25" t="str">
        <f aca="false">IF(A117="","",LEFT(A117,7))</f>
        <v/>
      </c>
    </row>
    <row r="118" customFormat="false" ht="15" hidden="false" customHeight="false" outlineLevel="0" collapsed="false">
      <c r="A118" s="15"/>
      <c r="B118" s="15"/>
      <c r="C118" s="15"/>
      <c r="D118" s="28"/>
      <c r="E118" s="29"/>
      <c r="F118" s="29"/>
      <c r="G118" s="29"/>
      <c r="H118" s="30" t="str">
        <f aca="false">IF(A118="","",D118*E118+F118)</f>
        <v/>
      </c>
      <c r="I118" s="30" t="str">
        <f aca="false">IF(A118="","",H118*Settings!$B$5)</f>
        <v/>
      </c>
      <c r="J118" s="30" t="str">
        <f aca="false">IF(A118="","",(H118+G118)*Settings!$B$6+Settings!$B$7)</f>
        <v/>
      </c>
      <c r="K118" s="30" t="str">
        <f aca="false">IF(A118="","",Settings!$B$8*D118)</f>
        <v/>
      </c>
      <c r="L118" s="15"/>
      <c r="M118" s="30" t="str">
        <f aca="false">IF(A118="","",IF(L118="Y",H118*Settings!$B$9,0))</f>
        <v/>
      </c>
      <c r="N118" s="30" t="str">
        <f aca="false">IF(A118="","",H118-I118-J118-K118-M118)</f>
        <v/>
      </c>
      <c r="O118" s="25" t="str">
        <f aca="false">IF(A118="","",LEFT(A118,7))</f>
        <v/>
      </c>
    </row>
    <row r="119" customFormat="false" ht="15" hidden="false" customHeight="false" outlineLevel="0" collapsed="false">
      <c r="A119" s="15"/>
      <c r="B119" s="15"/>
      <c r="C119" s="15"/>
      <c r="D119" s="28"/>
      <c r="E119" s="29"/>
      <c r="F119" s="29"/>
      <c r="G119" s="29"/>
      <c r="H119" s="30" t="str">
        <f aca="false">IF(A119="","",D119*E119+F119)</f>
        <v/>
      </c>
      <c r="I119" s="30" t="str">
        <f aca="false">IF(A119="","",H119*Settings!$B$5)</f>
        <v/>
      </c>
      <c r="J119" s="30" t="str">
        <f aca="false">IF(A119="","",(H119+G119)*Settings!$B$6+Settings!$B$7)</f>
        <v/>
      </c>
      <c r="K119" s="30" t="str">
        <f aca="false">IF(A119="","",Settings!$B$8*D119)</f>
        <v/>
      </c>
      <c r="L119" s="15"/>
      <c r="M119" s="30" t="str">
        <f aca="false">IF(A119="","",IF(L119="Y",H119*Settings!$B$9,0))</f>
        <v/>
      </c>
      <c r="N119" s="30" t="str">
        <f aca="false">IF(A119="","",H119-I119-J119-K119-M119)</f>
        <v/>
      </c>
      <c r="O119" s="25" t="str">
        <f aca="false">IF(A119="","",LEFT(A119,7))</f>
        <v/>
      </c>
    </row>
    <row r="120" customFormat="false" ht="15" hidden="false" customHeight="false" outlineLevel="0" collapsed="false">
      <c r="A120" s="15"/>
      <c r="B120" s="15"/>
      <c r="C120" s="15"/>
      <c r="D120" s="28"/>
      <c r="E120" s="29"/>
      <c r="F120" s="29"/>
      <c r="G120" s="29"/>
      <c r="H120" s="30" t="str">
        <f aca="false">IF(A120="","",D120*E120+F120)</f>
        <v/>
      </c>
      <c r="I120" s="30" t="str">
        <f aca="false">IF(A120="","",H120*Settings!$B$5)</f>
        <v/>
      </c>
      <c r="J120" s="30" t="str">
        <f aca="false">IF(A120="","",(H120+G120)*Settings!$B$6+Settings!$B$7)</f>
        <v/>
      </c>
      <c r="K120" s="30" t="str">
        <f aca="false">IF(A120="","",Settings!$B$8*D120)</f>
        <v/>
      </c>
      <c r="L120" s="15"/>
      <c r="M120" s="30" t="str">
        <f aca="false">IF(A120="","",IF(L120="Y",H120*Settings!$B$9,0))</f>
        <v/>
      </c>
      <c r="N120" s="30" t="str">
        <f aca="false">IF(A120="","",H120-I120-J120-K120-M120)</f>
        <v/>
      </c>
      <c r="O120" s="25" t="str">
        <f aca="false">IF(A120="","",LEFT(A120,7))</f>
        <v/>
      </c>
    </row>
    <row r="121" customFormat="false" ht="15" hidden="false" customHeight="false" outlineLevel="0" collapsed="false">
      <c r="A121" s="15"/>
      <c r="B121" s="15"/>
      <c r="C121" s="15"/>
      <c r="D121" s="28"/>
      <c r="E121" s="29"/>
      <c r="F121" s="29"/>
      <c r="G121" s="29"/>
      <c r="H121" s="30" t="str">
        <f aca="false">IF(A121="","",D121*E121+F121)</f>
        <v/>
      </c>
      <c r="I121" s="30" t="str">
        <f aca="false">IF(A121="","",H121*Settings!$B$5)</f>
        <v/>
      </c>
      <c r="J121" s="30" t="str">
        <f aca="false">IF(A121="","",(H121+G121)*Settings!$B$6+Settings!$B$7)</f>
        <v/>
      </c>
      <c r="K121" s="30" t="str">
        <f aca="false">IF(A121="","",Settings!$B$8*D121)</f>
        <v/>
      </c>
      <c r="L121" s="15"/>
      <c r="M121" s="30" t="str">
        <f aca="false">IF(A121="","",IF(L121="Y",H121*Settings!$B$9,0))</f>
        <v/>
      </c>
      <c r="N121" s="30" t="str">
        <f aca="false">IF(A121="","",H121-I121-J121-K121-M121)</f>
        <v/>
      </c>
      <c r="O121" s="25" t="str">
        <f aca="false">IF(A121="","",LEFT(A121,7))</f>
        <v/>
      </c>
    </row>
    <row r="122" customFormat="false" ht="15" hidden="false" customHeight="false" outlineLevel="0" collapsed="false">
      <c r="A122" s="15"/>
      <c r="B122" s="15"/>
      <c r="C122" s="15"/>
      <c r="D122" s="28"/>
      <c r="E122" s="29"/>
      <c r="F122" s="29"/>
      <c r="G122" s="29"/>
      <c r="H122" s="30" t="str">
        <f aca="false">IF(A122="","",D122*E122+F122)</f>
        <v/>
      </c>
      <c r="I122" s="30" t="str">
        <f aca="false">IF(A122="","",H122*Settings!$B$5)</f>
        <v/>
      </c>
      <c r="J122" s="30" t="str">
        <f aca="false">IF(A122="","",(H122+G122)*Settings!$B$6+Settings!$B$7)</f>
        <v/>
      </c>
      <c r="K122" s="30" t="str">
        <f aca="false">IF(A122="","",Settings!$B$8*D122)</f>
        <v/>
      </c>
      <c r="L122" s="15"/>
      <c r="M122" s="30" t="str">
        <f aca="false">IF(A122="","",IF(L122="Y",H122*Settings!$B$9,0))</f>
        <v/>
      </c>
      <c r="N122" s="30" t="str">
        <f aca="false">IF(A122="","",H122-I122-J122-K122-M122)</f>
        <v/>
      </c>
      <c r="O122" s="25" t="str">
        <f aca="false">IF(A122="","",LEFT(A122,7))</f>
        <v/>
      </c>
    </row>
    <row r="123" customFormat="false" ht="15" hidden="false" customHeight="false" outlineLevel="0" collapsed="false">
      <c r="A123" s="15"/>
      <c r="B123" s="15"/>
      <c r="C123" s="15"/>
      <c r="D123" s="28"/>
      <c r="E123" s="29"/>
      <c r="F123" s="29"/>
      <c r="G123" s="29"/>
      <c r="H123" s="30" t="str">
        <f aca="false">IF(A123="","",D123*E123+F123)</f>
        <v/>
      </c>
      <c r="I123" s="30" t="str">
        <f aca="false">IF(A123="","",H123*Settings!$B$5)</f>
        <v/>
      </c>
      <c r="J123" s="30" t="str">
        <f aca="false">IF(A123="","",(H123+G123)*Settings!$B$6+Settings!$B$7)</f>
        <v/>
      </c>
      <c r="K123" s="30" t="str">
        <f aca="false">IF(A123="","",Settings!$B$8*D123)</f>
        <v/>
      </c>
      <c r="L123" s="15"/>
      <c r="M123" s="30" t="str">
        <f aca="false">IF(A123="","",IF(L123="Y",H123*Settings!$B$9,0))</f>
        <v/>
      </c>
      <c r="N123" s="30" t="str">
        <f aca="false">IF(A123="","",H123-I123-J123-K123-M123)</f>
        <v/>
      </c>
      <c r="O123" s="25" t="str">
        <f aca="false">IF(A123="","",LEFT(A123,7))</f>
        <v/>
      </c>
    </row>
    <row r="124" customFormat="false" ht="15" hidden="false" customHeight="false" outlineLevel="0" collapsed="false">
      <c r="A124" s="15"/>
      <c r="B124" s="15"/>
      <c r="C124" s="15"/>
      <c r="D124" s="28"/>
      <c r="E124" s="29"/>
      <c r="F124" s="29"/>
      <c r="G124" s="29"/>
      <c r="H124" s="30" t="str">
        <f aca="false">IF(A124="","",D124*E124+F124)</f>
        <v/>
      </c>
      <c r="I124" s="30" t="str">
        <f aca="false">IF(A124="","",H124*Settings!$B$5)</f>
        <v/>
      </c>
      <c r="J124" s="30" t="str">
        <f aca="false">IF(A124="","",(H124+G124)*Settings!$B$6+Settings!$B$7)</f>
        <v/>
      </c>
      <c r="K124" s="30" t="str">
        <f aca="false">IF(A124="","",Settings!$B$8*D124)</f>
        <v/>
      </c>
      <c r="L124" s="15"/>
      <c r="M124" s="30" t="str">
        <f aca="false">IF(A124="","",IF(L124="Y",H124*Settings!$B$9,0))</f>
        <v/>
      </c>
      <c r="N124" s="30" t="str">
        <f aca="false">IF(A124="","",H124-I124-J124-K124-M124)</f>
        <v/>
      </c>
      <c r="O124" s="25" t="str">
        <f aca="false">IF(A124="","",LEFT(A124,7))</f>
        <v/>
      </c>
    </row>
    <row r="125" customFormat="false" ht="15" hidden="false" customHeight="false" outlineLevel="0" collapsed="false">
      <c r="A125" s="15"/>
      <c r="B125" s="15"/>
      <c r="C125" s="15"/>
      <c r="D125" s="28"/>
      <c r="E125" s="29"/>
      <c r="F125" s="29"/>
      <c r="G125" s="29"/>
      <c r="H125" s="30" t="str">
        <f aca="false">IF(A125="","",D125*E125+F125)</f>
        <v/>
      </c>
      <c r="I125" s="30" t="str">
        <f aca="false">IF(A125="","",H125*Settings!$B$5)</f>
        <v/>
      </c>
      <c r="J125" s="30" t="str">
        <f aca="false">IF(A125="","",(H125+G125)*Settings!$B$6+Settings!$B$7)</f>
        <v/>
      </c>
      <c r="K125" s="30" t="str">
        <f aca="false">IF(A125="","",Settings!$B$8*D125)</f>
        <v/>
      </c>
      <c r="L125" s="15"/>
      <c r="M125" s="30" t="str">
        <f aca="false">IF(A125="","",IF(L125="Y",H125*Settings!$B$9,0))</f>
        <v/>
      </c>
      <c r="N125" s="30" t="str">
        <f aca="false">IF(A125="","",H125-I125-J125-K125-M125)</f>
        <v/>
      </c>
      <c r="O125" s="25" t="str">
        <f aca="false">IF(A125="","",LEFT(A125,7))</f>
        <v/>
      </c>
    </row>
    <row r="126" customFormat="false" ht="15" hidden="false" customHeight="false" outlineLevel="0" collapsed="false">
      <c r="A126" s="15"/>
      <c r="B126" s="15"/>
      <c r="C126" s="15"/>
      <c r="D126" s="28"/>
      <c r="E126" s="29"/>
      <c r="F126" s="29"/>
      <c r="G126" s="29"/>
      <c r="H126" s="30" t="str">
        <f aca="false">IF(A126="","",D126*E126+F126)</f>
        <v/>
      </c>
      <c r="I126" s="30" t="str">
        <f aca="false">IF(A126="","",H126*Settings!$B$5)</f>
        <v/>
      </c>
      <c r="J126" s="30" t="str">
        <f aca="false">IF(A126="","",(H126+G126)*Settings!$B$6+Settings!$B$7)</f>
        <v/>
      </c>
      <c r="K126" s="30" t="str">
        <f aca="false">IF(A126="","",Settings!$B$8*D126)</f>
        <v/>
      </c>
      <c r="L126" s="15"/>
      <c r="M126" s="30" t="str">
        <f aca="false">IF(A126="","",IF(L126="Y",H126*Settings!$B$9,0))</f>
        <v/>
      </c>
      <c r="N126" s="30" t="str">
        <f aca="false">IF(A126="","",H126-I126-J126-K126-M126)</f>
        <v/>
      </c>
      <c r="O126" s="25" t="str">
        <f aca="false">IF(A126="","",LEFT(A126,7))</f>
        <v/>
      </c>
    </row>
    <row r="127" customFormat="false" ht="15" hidden="false" customHeight="false" outlineLevel="0" collapsed="false">
      <c r="A127" s="15"/>
      <c r="B127" s="15"/>
      <c r="C127" s="15"/>
      <c r="D127" s="28"/>
      <c r="E127" s="29"/>
      <c r="F127" s="29"/>
      <c r="G127" s="29"/>
      <c r="H127" s="30" t="str">
        <f aca="false">IF(A127="","",D127*E127+F127)</f>
        <v/>
      </c>
      <c r="I127" s="30" t="str">
        <f aca="false">IF(A127="","",H127*Settings!$B$5)</f>
        <v/>
      </c>
      <c r="J127" s="30" t="str">
        <f aca="false">IF(A127="","",(H127+G127)*Settings!$B$6+Settings!$B$7)</f>
        <v/>
      </c>
      <c r="K127" s="30" t="str">
        <f aca="false">IF(A127="","",Settings!$B$8*D127)</f>
        <v/>
      </c>
      <c r="L127" s="15"/>
      <c r="M127" s="30" t="str">
        <f aca="false">IF(A127="","",IF(L127="Y",H127*Settings!$B$9,0))</f>
        <v/>
      </c>
      <c r="N127" s="30" t="str">
        <f aca="false">IF(A127="","",H127-I127-J127-K127-M127)</f>
        <v/>
      </c>
      <c r="O127" s="25" t="str">
        <f aca="false">IF(A127="","",LEFT(A127,7))</f>
        <v/>
      </c>
    </row>
    <row r="128" customFormat="false" ht="15" hidden="false" customHeight="false" outlineLevel="0" collapsed="false">
      <c r="A128" s="15"/>
      <c r="B128" s="15"/>
      <c r="C128" s="15"/>
      <c r="D128" s="28"/>
      <c r="E128" s="29"/>
      <c r="F128" s="29"/>
      <c r="G128" s="29"/>
      <c r="H128" s="30" t="str">
        <f aca="false">IF(A128="","",D128*E128+F128)</f>
        <v/>
      </c>
      <c r="I128" s="30" t="str">
        <f aca="false">IF(A128="","",H128*Settings!$B$5)</f>
        <v/>
      </c>
      <c r="J128" s="30" t="str">
        <f aca="false">IF(A128="","",(H128+G128)*Settings!$B$6+Settings!$B$7)</f>
        <v/>
      </c>
      <c r="K128" s="30" t="str">
        <f aca="false">IF(A128="","",Settings!$B$8*D128)</f>
        <v/>
      </c>
      <c r="L128" s="15"/>
      <c r="M128" s="30" t="str">
        <f aca="false">IF(A128="","",IF(L128="Y",H128*Settings!$B$9,0))</f>
        <v/>
      </c>
      <c r="N128" s="30" t="str">
        <f aca="false">IF(A128="","",H128-I128-J128-K128-M128)</f>
        <v/>
      </c>
      <c r="O128" s="25" t="str">
        <f aca="false">IF(A128="","",LEFT(A128,7))</f>
        <v/>
      </c>
    </row>
    <row r="129" customFormat="false" ht="15" hidden="false" customHeight="false" outlineLevel="0" collapsed="false">
      <c r="A129" s="15"/>
      <c r="B129" s="15"/>
      <c r="C129" s="15"/>
      <c r="D129" s="28"/>
      <c r="E129" s="29"/>
      <c r="F129" s="29"/>
      <c r="G129" s="29"/>
      <c r="H129" s="30" t="str">
        <f aca="false">IF(A129="","",D129*E129+F129)</f>
        <v/>
      </c>
      <c r="I129" s="30" t="str">
        <f aca="false">IF(A129="","",H129*Settings!$B$5)</f>
        <v/>
      </c>
      <c r="J129" s="30" t="str">
        <f aca="false">IF(A129="","",(H129+G129)*Settings!$B$6+Settings!$B$7)</f>
        <v/>
      </c>
      <c r="K129" s="30" t="str">
        <f aca="false">IF(A129="","",Settings!$B$8*D129)</f>
        <v/>
      </c>
      <c r="L129" s="15"/>
      <c r="M129" s="30" t="str">
        <f aca="false">IF(A129="","",IF(L129="Y",H129*Settings!$B$9,0))</f>
        <v/>
      </c>
      <c r="N129" s="30" t="str">
        <f aca="false">IF(A129="","",H129-I129-J129-K129-M129)</f>
        <v/>
      </c>
      <c r="O129" s="25" t="str">
        <f aca="false">IF(A129="","",LEFT(A129,7))</f>
        <v/>
      </c>
    </row>
    <row r="130" customFormat="false" ht="15" hidden="false" customHeight="false" outlineLevel="0" collapsed="false">
      <c r="A130" s="15"/>
      <c r="B130" s="15"/>
      <c r="C130" s="15"/>
      <c r="D130" s="28"/>
      <c r="E130" s="29"/>
      <c r="F130" s="29"/>
      <c r="G130" s="29"/>
      <c r="H130" s="30" t="str">
        <f aca="false">IF(A130="","",D130*E130+F130)</f>
        <v/>
      </c>
      <c r="I130" s="30" t="str">
        <f aca="false">IF(A130="","",H130*Settings!$B$5)</f>
        <v/>
      </c>
      <c r="J130" s="30" t="str">
        <f aca="false">IF(A130="","",(H130+G130)*Settings!$B$6+Settings!$B$7)</f>
        <v/>
      </c>
      <c r="K130" s="30" t="str">
        <f aca="false">IF(A130="","",Settings!$B$8*D130)</f>
        <v/>
      </c>
      <c r="L130" s="15"/>
      <c r="M130" s="30" t="str">
        <f aca="false">IF(A130="","",IF(L130="Y",H130*Settings!$B$9,0))</f>
        <v/>
      </c>
      <c r="N130" s="30" t="str">
        <f aca="false">IF(A130="","",H130-I130-J130-K130-M130)</f>
        <v/>
      </c>
      <c r="O130" s="25" t="str">
        <f aca="false">IF(A130="","",LEFT(A130,7))</f>
        <v/>
      </c>
    </row>
    <row r="131" customFormat="false" ht="15" hidden="false" customHeight="false" outlineLevel="0" collapsed="false">
      <c r="A131" s="15"/>
      <c r="B131" s="15"/>
      <c r="C131" s="15"/>
      <c r="D131" s="28"/>
      <c r="E131" s="29"/>
      <c r="F131" s="29"/>
      <c r="G131" s="29"/>
      <c r="H131" s="30" t="str">
        <f aca="false">IF(A131="","",D131*E131+F131)</f>
        <v/>
      </c>
      <c r="I131" s="30" t="str">
        <f aca="false">IF(A131="","",H131*Settings!$B$5)</f>
        <v/>
      </c>
      <c r="J131" s="30" t="str">
        <f aca="false">IF(A131="","",(H131+G131)*Settings!$B$6+Settings!$B$7)</f>
        <v/>
      </c>
      <c r="K131" s="30" t="str">
        <f aca="false">IF(A131="","",Settings!$B$8*D131)</f>
        <v/>
      </c>
      <c r="L131" s="15"/>
      <c r="M131" s="30" t="str">
        <f aca="false">IF(A131="","",IF(L131="Y",H131*Settings!$B$9,0))</f>
        <v/>
      </c>
      <c r="N131" s="30" t="str">
        <f aca="false">IF(A131="","",H131-I131-J131-K131-M131)</f>
        <v/>
      </c>
      <c r="O131" s="25" t="str">
        <f aca="false">IF(A131="","",LEFT(A131,7))</f>
        <v/>
      </c>
    </row>
    <row r="132" customFormat="false" ht="15" hidden="false" customHeight="false" outlineLevel="0" collapsed="false">
      <c r="A132" s="15"/>
      <c r="B132" s="15"/>
      <c r="C132" s="15"/>
      <c r="D132" s="28"/>
      <c r="E132" s="29"/>
      <c r="F132" s="29"/>
      <c r="G132" s="29"/>
      <c r="H132" s="30" t="str">
        <f aca="false">IF(A132="","",D132*E132+F132)</f>
        <v/>
      </c>
      <c r="I132" s="30" t="str">
        <f aca="false">IF(A132="","",H132*Settings!$B$5)</f>
        <v/>
      </c>
      <c r="J132" s="30" t="str">
        <f aca="false">IF(A132="","",(H132+G132)*Settings!$B$6+Settings!$B$7)</f>
        <v/>
      </c>
      <c r="K132" s="30" t="str">
        <f aca="false">IF(A132="","",Settings!$B$8*D132)</f>
        <v/>
      </c>
      <c r="L132" s="15"/>
      <c r="M132" s="30" t="str">
        <f aca="false">IF(A132="","",IF(L132="Y",H132*Settings!$B$9,0))</f>
        <v/>
      </c>
      <c r="N132" s="30" t="str">
        <f aca="false">IF(A132="","",H132-I132-J132-K132-M132)</f>
        <v/>
      </c>
      <c r="O132" s="25" t="str">
        <f aca="false">IF(A132="","",LEFT(A132,7))</f>
        <v/>
      </c>
    </row>
    <row r="133" customFormat="false" ht="15" hidden="false" customHeight="false" outlineLevel="0" collapsed="false">
      <c r="A133" s="15"/>
      <c r="B133" s="15"/>
      <c r="C133" s="15"/>
      <c r="D133" s="28"/>
      <c r="E133" s="29"/>
      <c r="F133" s="29"/>
      <c r="G133" s="29"/>
      <c r="H133" s="30" t="str">
        <f aca="false">IF(A133="","",D133*E133+F133)</f>
        <v/>
      </c>
      <c r="I133" s="30" t="str">
        <f aca="false">IF(A133="","",H133*Settings!$B$5)</f>
        <v/>
      </c>
      <c r="J133" s="30" t="str">
        <f aca="false">IF(A133="","",(H133+G133)*Settings!$B$6+Settings!$B$7)</f>
        <v/>
      </c>
      <c r="K133" s="30" t="str">
        <f aca="false">IF(A133="","",Settings!$B$8*D133)</f>
        <v/>
      </c>
      <c r="L133" s="15"/>
      <c r="M133" s="30" t="str">
        <f aca="false">IF(A133="","",IF(L133="Y",H133*Settings!$B$9,0))</f>
        <v/>
      </c>
      <c r="N133" s="30" t="str">
        <f aca="false">IF(A133="","",H133-I133-J133-K133-M133)</f>
        <v/>
      </c>
      <c r="O133" s="25" t="str">
        <f aca="false">IF(A133="","",LEFT(A133,7))</f>
        <v/>
      </c>
    </row>
    <row r="134" customFormat="false" ht="15" hidden="false" customHeight="false" outlineLevel="0" collapsed="false">
      <c r="A134" s="15"/>
      <c r="B134" s="15"/>
      <c r="C134" s="15"/>
      <c r="D134" s="28"/>
      <c r="E134" s="29"/>
      <c r="F134" s="29"/>
      <c r="G134" s="29"/>
      <c r="H134" s="30" t="str">
        <f aca="false">IF(A134="","",D134*E134+F134)</f>
        <v/>
      </c>
      <c r="I134" s="30" t="str">
        <f aca="false">IF(A134="","",H134*Settings!$B$5)</f>
        <v/>
      </c>
      <c r="J134" s="30" t="str">
        <f aca="false">IF(A134="","",(H134+G134)*Settings!$B$6+Settings!$B$7)</f>
        <v/>
      </c>
      <c r="K134" s="30" t="str">
        <f aca="false">IF(A134="","",Settings!$B$8*D134)</f>
        <v/>
      </c>
      <c r="L134" s="15"/>
      <c r="M134" s="30" t="str">
        <f aca="false">IF(A134="","",IF(L134="Y",H134*Settings!$B$9,0))</f>
        <v/>
      </c>
      <c r="N134" s="30" t="str">
        <f aca="false">IF(A134="","",H134-I134-J134-K134-M134)</f>
        <v/>
      </c>
      <c r="O134" s="25" t="str">
        <f aca="false">IF(A134="","",LEFT(A134,7))</f>
        <v/>
      </c>
    </row>
    <row r="135" customFormat="false" ht="15" hidden="false" customHeight="false" outlineLevel="0" collapsed="false">
      <c r="A135" s="15"/>
      <c r="B135" s="15"/>
      <c r="C135" s="15"/>
      <c r="D135" s="28"/>
      <c r="E135" s="29"/>
      <c r="F135" s="29"/>
      <c r="G135" s="29"/>
      <c r="H135" s="30" t="str">
        <f aca="false">IF(A135="","",D135*E135+F135)</f>
        <v/>
      </c>
      <c r="I135" s="30" t="str">
        <f aca="false">IF(A135="","",H135*Settings!$B$5)</f>
        <v/>
      </c>
      <c r="J135" s="30" t="str">
        <f aca="false">IF(A135="","",(H135+G135)*Settings!$B$6+Settings!$B$7)</f>
        <v/>
      </c>
      <c r="K135" s="30" t="str">
        <f aca="false">IF(A135="","",Settings!$B$8*D135)</f>
        <v/>
      </c>
      <c r="L135" s="15"/>
      <c r="M135" s="30" t="str">
        <f aca="false">IF(A135="","",IF(L135="Y",H135*Settings!$B$9,0))</f>
        <v/>
      </c>
      <c r="N135" s="30" t="str">
        <f aca="false">IF(A135="","",H135-I135-J135-K135-M135)</f>
        <v/>
      </c>
      <c r="O135" s="25" t="str">
        <f aca="false">IF(A135="","",LEFT(A135,7))</f>
        <v/>
      </c>
    </row>
    <row r="136" customFormat="false" ht="15" hidden="false" customHeight="false" outlineLevel="0" collapsed="false">
      <c r="A136" s="15"/>
      <c r="B136" s="15"/>
      <c r="C136" s="15"/>
      <c r="D136" s="28"/>
      <c r="E136" s="29"/>
      <c r="F136" s="29"/>
      <c r="G136" s="29"/>
      <c r="H136" s="30" t="str">
        <f aca="false">IF(A136="","",D136*E136+F136)</f>
        <v/>
      </c>
      <c r="I136" s="30" t="str">
        <f aca="false">IF(A136="","",H136*Settings!$B$5)</f>
        <v/>
      </c>
      <c r="J136" s="30" t="str">
        <f aca="false">IF(A136="","",(H136+G136)*Settings!$B$6+Settings!$B$7)</f>
        <v/>
      </c>
      <c r="K136" s="30" t="str">
        <f aca="false">IF(A136="","",Settings!$B$8*D136)</f>
        <v/>
      </c>
      <c r="L136" s="15"/>
      <c r="M136" s="30" t="str">
        <f aca="false">IF(A136="","",IF(L136="Y",H136*Settings!$B$9,0))</f>
        <v/>
      </c>
      <c r="N136" s="30" t="str">
        <f aca="false">IF(A136="","",H136-I136-J136-K136-M136)</f>
        <v/>
      </c>
      <c r="O136" s="25" t="str">
        <f aca="false">IF(A136="","",LEFT(A136,7))</f>
        <v/>
      </c>
    </row>
    <row r="137" customFormat="false" ht="15" hidden="false" customHeight="false" outlineLevel="0" collapsed="false">
      <c r="A137" s="15"/>
      <c r="B137" s="15"/>
      <c r="C137" s="15"/>
      <c r="D137" s="28"/>
      <c r="E137" s="29"/>
      <c r="F137" s="29"/>
      <c r="G137" s="29"/>
      <c r="H137" s="30" t="str">
        <f aca="false">IF(A137="","",D137*E137+F137)</f>
        <v/>
      </c>
      <c r="I137" s="30" t="str">
        <f aca="false">IF(A137="","",H137*Settings!$B$5)</f>
        <v/>
      </c>
      <c r="J137" s="30" t="str">
        <f aca="false">IF(A137="","",(H137+G137)*Settings!$B$6+Settings!$B$7)</f>
        <v/>
      </c>
      <c r="K137" s="30" t="str">
        <f aca="false">IF(A137="","",Settings!$B$8*D137)</f>
        <v/>
      </c>
      <c r="L137" s="15"/>
      <c r="M137" s="30" t="str">
        <f aca="false">IF(A137="","",IF(L137="Y",H137*Settings!$B$9,0))</f>
        <v/>
      </c>
      <c r="N137" s="30" t="str">
        <f aca="false">IF(A137="","",H137-I137-J137-K137-M137)</f>
        <v/>
      </c>
      <c r="O137" s="25" t="str">
        <f aca="false">IF(A137="","",LEFT(A137,7))</f>
        <v/>
      </c>
    </row>
    <row r="138" customFormat="false" ht="15" hidden="false" customHeight="false" outlineLevel="0" collapsed="false">
      <c r="A138" s="15"/>
      <c r="B138" s="15"/>
      <c r="C138" s="15"/>
      <c r="D138" s="28"/>
      <c r="E138" s="29"/>
      <c r="F138" s="29"/>
      <c r="G138" s="29"/>
      <c r="H138" s="30" t="str">
        <f aca="false">IF(A138="","",D138*E138+F138)</f>
        <v/>
      </c>
      <c r="I138" s="30" t="str">
        <f aca="false">IF(A138="","",H138*Settings!$B$5)</f>
        <v/>
      </c>
      <c r="J138" s="30" t="str">
        <f aca="false">IF(A138="","",(H138+G138)*Settings!$B$6+Settings!$B$7)</f>
        <v/>
      </c>
      <c r="K138" s="30" t="str">
        <f aca="false">IF(A138="","",Settings!$B$8*D138)</f>
        <v/>
      </c>
      <c r="L138" s="15"/>
      <c r="M138" s="30" t="str">
        <f aca="false">IF(A138="","",IF(L138="Y",H138*Settings!$B$9,0))</f>
        <v/>
      </c>
      <c r="N138" s="30" t="str">
        <f aca="false">IF(A138="","",H138-I138-J138-K138-M138)</f>
        <v/>
      </c>
      <c r="O138" s="25" t="str">
        <f aca="false">IF(A138="","",LEFT(A138,7))</f>
        <v/>
      </c>
    </row>
    <row r="139" customFormat="false" ht="15" hidden="false" customHeight="false" outlineLevel="0" collapsed="false">
      <c r="A139" s="15"/>
      <c r="B139" s="15"/>
      <c r="C139" s="15"/>
      <c r="D139" s="28"/>
      <c r="E139" s="29"/>
      <c r="F139" s="29"/>
      <c r="G139" s="29"/>
      <c r="H139" s="30" t="str">
        <f aca="false">IF(A139="","",D139*E139+F139)</f>
        <v/>
      </c>
      <c r="I139" s="30" t="str">
        <f aca="false">IF(A139="","",H139*Settings!$B$5)</f>
        <v/>
      </c>
      <c r="J139" s="30" t="str">
        <f aca="false">IF(A139="","",(H139+G139)*Settings!$B$6+Settings!$B$7)</f>
        <v/>
      </c>
      <c r="K139" s="30" t="str">
        <f aca="false">IF(A139="","",Settings!$B$8*D139)</f>
        <v/>
      </c>
      <c r="L139" s="15"/>
      <c r="M139" s="30" t="str">
        <f aca="false">IF(A139="","",IF(L139="Y",H139*Settings!$B$9,0))</f>
        <v/>
      </c>
      <c r="N139" s="30" t="str">
        <f aca="false">IF(A139="","",H139-I139-J139-K139-M139)</f>
        <v/>
      </c>
      <c r="O139" s="25" t="str">
        <f aca="false">IF(A139="","",LEFT(A139,7))</f>
        <v/>
      </c>
    </row>
    <row r="140" customFormat="false" ht="15" hidden="false" customHeight="false" outlineLevel="0" collapsed="false">
      <c r="A140" s="15"/>
      <c r="B140" s="15"/>
      <c r="C140" s="15"/>
      <c r="D140" s="28"/>
      <c r="E140" s="29"/>
      <c r="F140" s="29"/>
      <c r="G140" s="29"/>
      <c r="H140" s="30" t="str">
        <f aca="false">IF(A140="","",D140*E140+F140)</f>
        <v/>
      </c>
      <c r="I140" s="30" t="str">
        <f aca="false">IF(A140="","",H140*Settings!$B$5)</f>
        <v/>
      </c>
      <c r="J140" s="30" t="str">
        <f aca="false">IF(A140="","",(H140+G140)*Settings!$B$6+Settings!$B$7)</f>
        <v/>
      </c>
      <c r="K140" s="30" t="str">
        <f aca="false">IF(A140="","",Settings!$B$8*D140)</f>
        <v/>
      </c>
      <c r="L140" s="15"/>
      <c r="M140" s="30" t="str">
        <f aca="false">IF(A140="","",IF(L140="Y",H140*Settings!$B$9,0))</f>
        <v/>
      </c>
      <c r="N140" s="30" t="str">
        <f aca="false">IF(A140="","",H140-I140-J140-K140-M140)</f>
        <v/>
      </c>
      <c r="O140" s="25" t="str">
        <f aca="false">IF(A140="","",LEFT(A140,7))</f>
        <v/>
      </c>
    </row>
    <row r="141" customFormat="false" ht="15" hidden="false" customHeight="false" outlineLevel="0" collapsed="false">
      <c r="A141" s="15"/>
      <c r="B141" s="15"/>
      <c r="C141" s="15"/>
      <c r="D141" s="28"/>
      <c r="E141" s="29"/>
      <c r="F141" s="29"/>
      <c r="G141" s="29"/>
      <c r="H141" s="30" t="str">
        <f aca="false">IF(A141="","",D141*E141+F141)</f>
        <v/>
      </c>
      <c r="I141" s="30" t="str">
        <f aca="false">IF(A141="","",H141*Settings!$B$5)</f>
        <v/>
      </c>
      <c r="J141" s="30" t="str">
        <f aca="false">IF(A141="","",(H141+G141)*Settings!$B$6+Settings!$B$7)</f>
        <v/>
      </c>
      <c r="K141" s="30" t="str">
        <f aca="false">IF(A141="","",Settings!$B$8*D141)</f>
        <v/>
      </c>
      <c r="L141" s="15"/>
      <c r="M141" s="30" t="str">
        <f aca="false">IF(A141="","",IF(L141="Y",H141*Settings!$B$9,0))</f>
        <v/>
      </c>
      <c r="N141" s="30" t="str">
        <f aca="false">IF(A141="","",H141-I141-J141-K141-M141)</f>
        <v/>
      </c>
      <c r="O141" s="25" t="str">
        <f aca="false">IF(A141="","",LEFT(A141,7))</f>
        <v/>
      </c>
    </row>
    <row r="142" customFormat="false" ht="15" hidden="false" customHeight="false" outlineLevel="0" collapsed="false">
      <c r="A142" s="15"/>
      <c r="B142" s="15"/>
      <c r="C142" s="15"/>
      <c r="D142" s="28"/>
      <c r="E142" s="29"/>
      <c r="F142" s="29"/>
      <c r="G142" s="29"/>
      <c r="H142" s="30" t="str">
        <f aca="false">IF(A142="","",D142*E142+F142)</f>
        <v/>
      </c>
      <c r="I142" s="30" t="str">
        <f aca="false">IF(A142="","",H142*Settings!$B$5)</f>
        <v/>
      </c>
      <c r="J142" s="30" t="str">
        <f aca="false">IF(A142="","",(H142+G142)*Settings!$B$6+Settings!$B$7)</f>
        <v/>
      </c>
      <c r="K142" s="30" t="str">
        <f aca="false">IF(A142="","",Settings!$B$8*D142)</f>
        <v/>
      </c>
      <c r="L142" s="15"/>
      <c r="M142" s="30" t="str">
        <f aca="false">IF(A142="","",IF(L142="Y",H142*Settings!$B$9,0))</f>
        <v/>
      </c>
      <c r="N142" s="30" t="str">
        <f aca="false">IF(A142="","",H142-I142-J142-K142-M142)</f>
        <v/>
      </c>
      <c r="O142" s="25" t="str">
        <f aca="false">IF(A142="","",LEFT(A142,7))</f>
        <v/>
      </c>
    </row>
    <row r="143" customFormat="false" ht="15" hidden="false" customHeight="false" outlineLevel="0" collapsed="false">
      <c r="A143" s="15"/>
      <c r="B143" s="15"/>
      <c r="C143" s="15"/>
      <c r="D143" s="28"/>
      <c r="E143" s="29"/>
      <c r="F143" s="29"/>
      <c r="G143" s="29"/>
      <c r="H143" s="30" t="str">
        <f aca="false">IF(A143="","",D143*E143+F143)</f>
        <v/>
      </c>
      <c r="I143" s="30" t="str">
        <f aca="false">IF(A143="","",H143*Settings!$B$5)</f>
        <v/>
      </c>
      <c r="J143" s="30" t="str">
        <f aca="false">IF(A143="","",(H143+G143)*Settings!$B$6+Settings!$B$7)</f>
        <v/>
      </c>
      <c r="K143" s="30" t="str">
        <f aca="false">IF(A143="","",Settings!$B$8*D143)</f>
        <v/>
      </c>
      <c r="L143" s="15"/>
      <c r="M143" s="30" t="str">
        <f aca="false">IF(A143="","",IF(L143="Y",H143*Settings!$B$9,0))</f>
        <v/>
      </c>
      <c r="N143" s="30" t="str">
        <f aca="false">IF(A143="","",H143-I143-J143-K143-M143)</f>
        <v/>
      </c>
      <c r="O143" s="25" t="str">
        <f aca="false">IF(A143="","",LEFT(A143,7))</f>
        <v/>
      </c>
    </row>
    <row r="144" customFormat="false" ht="15" hidden="false" customHeight="false" outlineLevel="0" collapsed="false">
      <c r="A144" s="15"/>
      <c r="B144" s="15"/>
      <c r="C144" s="15"/>
      <c r="D144" s="28"/>
      <c r="E144" s="29"/>
      <c r="F144" s="29"/>
      <c r="G144" s="29"/>
      <c r="H144" s="30" t="str">
        <f aca="false">IF(A144="","",D144*E144+F144)</f>
        <v/>
      </c>
      <c r="I144" s="30" t="str">
        <f aca="false">IF(A144="","",H144*Settings!$B$5)</f>
        <v/>
      </c>
      <c r="J144" s="30" t="str">
        <f aca="false">IF(A144="","",(H144+G144)*Settings!$B$6+Settings!$B$7)</f>
        <v/>
      </c>
      <c r="K144" s="30" t="str">
        <f aca="false">IF(A144="","",Settings!$B$8*D144)</f>
        <v/>
      </c>
      <c r="L144" s="15"/>
      <c r="M144" s="30" t="str">
        <f aca="false">IF(A144="","",IF(L144="Y",H144*Settings!$B$9,0))</f>
        <v/>
      </c>
      <c r="N144" s="30" t="str">
        <f aca="false">IF(A144="","",H144-I144-J144-K144-M144)</f>
        <v/>
      </c>
      <c r="O144" s="25" t="str">
        <f aca="false">IF(A144="","",LEFT(A144,7))</f>
        <v/>
      </c>
    </row>
    <row r="145" customFormat="false" ht="15" hidden="false" customHeight="false" outlineLevel="0" collapsed="false">
      <c r="A145" s="15"/>
      <c r="B145" s="15"/>
      <c r="C145" s="15"/>
      <c r="D145" s="28"/>
      <c r="E145" s="29"/>
      <c r="F145" s="29"/>
      <c r="G145" s="29"/>
      <c r="H145" s="30" t="str">
        <f aca="false">IF(A145="","",D145*E145+F145)</f>
        <v/>
      </c>
      <c r="I145" s="30" t="str">
        <f aca="false">IF(A145="","",H145*Settings!$B$5)</f>
        <v/>
      </c>
      <c r="J145" s="30" t="str">
        <f aca="false">IF(A145="","",(H145+G145)*Settings!$B$6+Settings!$B$7)</f>
        <v/>
      </c>
      <c r="K145" s="30" t="str">
        <f aca="false">IF(A145="","",Settings!$B$8*D145)</f>
        <v/>
      </c>
      <c r="L145" s="15"/>
      <c r="M145" s="30" t="str">
        <f aca="false">IF(A145="","",IF(L145="Y",H145*Settings!$B$9,0))</f>
        <v/>
      </c>
      <c r="N145" s="30" t="str">
        <f aca="false">IF(A145="","",H145-I145-J145-K145-M145)</f>
        <v/>
      </c>
      <c r="O145" s="25" t="str">
        <f aca="false">IF(A145="","",LEFT(A145,7))</f>
        <v/>
      </c>
    </row>
    <row r="146" customFormat="false" ht="15" hidden="false" customHeight="false" outlineLevel="0" collapsed="false">
      <c r="A146" s="15"/>
      <c r="B146" s="15"/>
      <c r="C146" s="15"/>
      <c r="D146" s="28"/>
      <c r="E146" s="29"/>
      <c r="F146" s="29"/>
      <c r="G146" s="29"/>
      <c r="H146" s="30" t="str">
        <f aca="false">IF(A146="","",D146*E146+F146)</f>
        <v/>
      </c>
      <c r="I146" s="30" t="str">
        <f aca="false">IF(A146="","",H146*Settings!$B$5)</f>
        <v/>
      </c>
      <c r="J146" s="30" t="str">
        <f aca="false">IF(A146="","",(H146+G146)*Settings!$B$6+Settings!$B$7)</f>
        <v/>
      </c>
      <c r="K146" s="30" t="str">
        <f aca="false">IF(A146="","",Settings!$B$8*D146)</f>
        <v/>
      </c>
      <c r="L146" s="15"/>
      <c r="M146" s="30" t="str">
        <f aca="false">IF(A146="","",IF(L146="Y",H146*Settings!$B$9,0))</f>
        <v/>
      </c>
      <c r="N146" s="30" t="str">
        <f aca="false">IF(A146="","",H146-I146-J146-K146-M146)</f>
        <v/>
      </c>
      <c r="O146" s="25" t="str">
        <f aca="false">IF(A146="","",LEFT(A146,7))</f>
        <v/>
      </c>
    </row>
    <row r="147" customFormat="false" ht="15" hidden="false" customHeight="false" outlineLevel="0" collapsed="false">
      <c r="A147" s="15"/>
      <c r="B147" s="15"/>
      <c r="C147" s="15"/>
      <c r="D147" s="28"/>
      <c r="E147" s="29"/>
      <c r="F147" s="29"/>
      <c r="G147" s="29"/>
      <c r="H147" s="30" t="str">
        <f aca="false">IF(A147="","",D147*E147+F147)</f>
        <v/>
      </c>
      <c r="I147" s="30" t="str">
        <f aca="false">IF(A147="","",H147*Settings!$B$5)</f>
        <v/>
      </c>
      <c r="J147" s="30" t="str">
        <f aca="false">IF(A147="","",(H147+G147)*Settings!$B$6+Settings!$B$7)</f>
        <v/>
      </c>
      <c r="K147" s="30" t="str">
        <f aca="false">IF(A147="","",Settings!$B$8*D147)</f>
        <v/>
      </c>
      <c r="L147" s="15"/>
      <c r="M147" s="30" t="str">
        <f aca="false">IF(A147="","",IF(L147="Y",H147*Settings!$B$9,0))</f>
        <v/>
      </c>
      <c r="N147" s="30" t="str">
        <f aca="false">IF(A147="","",H147-I147-J147-K147-M147)</f>
        <v/>
      </c>
      <c r="O147" s="25" t="str">
        <f aca="false">IF(A147="","",LEFT(A147,7))</f>
        <v/>
      </c>
    </row>
    <row r="148" customFormat="false" ht="15" hidden="false" customHeight="false" outlineLevel="0" collapsed="false">
      <c r="A148" s="15"/>
      <c r="B148" s="15"/>
      <c r="C148" s="15"/>
      <c r="D148" s="28"/>
      <c r="E148" s="29"/>
      <c r="F148" s="29"/>
      <c r="G148" s="29"/>
      <c r="H148" s="30" t="str">
        <f aca="false">IF(A148="","",D148*E148+F148)</f>
        <v/>
      </c>
      <c r="I148" s="30" t="str">
        <f aca="false">IF(A148="","",H148*Settings!$B$5)</f>
        <v/>
      </c>
      <c r="J148" s="30" t="str">
        <f aca="false">IF(A148="","",(H148+G148)*Settings!$B$6+Settings!$B$7)</f>
        <v/>
      </c>
      <c r="K148" s="30" t="str">
        <f aca="false">IF(A148="","",Settings!$B$8*D148)</f>
        <v/>
      </c>
      <c r="L148" s="15"/>
      <c r="M148" s="30" t="str">
        <f aca="false">IF(A148="","",IF(L148="Y",H148*Settings!$B$9,0))</f>
        <v/>
      </c>
      <c r="N148" s="30" t="str">
        <f aca="false">IF(A148="","",H148-I148-J148-K148-M148)</f>
        <v/>
      </c>
      <c r="O148" s="25" t="str">
        <f aca="false">IF(A148="","",LEFT(A148,7))</f>
        <v/>
      </c>
    </row>
    <row r="149" customFormat="false" ht="15" hidden="false" customHeight="false" outlineLevel="0" collapsed="false">
      <c r="A149" s="15"/>
      <c r="B149" s="15"/>
      <c r="C149" s="15"/>
      <c r="D149" s="28"/>
      <c r="E149" s="29"/>
      <c r="F149" s="29"/>
      <c r="G149" s="29"/>
      <c r="H149" s="30" t="str">
        <f aca="false">IF(A149="","",D149*E149+F149)</f>
        <v/>
      </c>
      <c r="I149" s="30" t="str">
        <f aca="false">IF(A149="","",H149*Settings!$B$5)</f>
        <v/>
      </c>
      <c r="J149" s="30" t="str">
        <f aca="false">IF(A149="","",(H149+G149)*Settings!$B$6+Settings!$B$7)</f>
        <v/>
      </c>
      <c r="K149" s="30" t="str">
        <f aca="false">IF(A149="","",Settings!$B$8*D149)</f>
        <v/>
      </c>
      <c r="L149" s="15"/>
      <c r="M149" s="30" t="str">
        <f aca="false">IF(A149="","",IF(L149="Y",H149*Settings!$B$9,0))</f>
        <v/>
      </c>
      <c r="N149" s="30" t="str">
        <f aca="false">IF(A149="","",H149-I149-J149-K149-M149)</f>
        <v/>
      </c>
      <c r="O149" s="25" t="str">
        <f aca="false">IF(A149="","",LEFT(A149,7))</f>
        <v/>
      </c>
    </row>
    <row r="150" customFormat="false" ht="15" hidden="false" customHeight="false" outlineLevel="0" collapsed="false">
      <c r="A150" s="15"/>
      <c r="B150" s="15"/>
      <c r="C150" s="15"/>
      <c r="D150" s="28"/>
      <c r="E150" s="29"/>
      <c r="F150" s="29"/>
      <c r="G150" s="29"/>
      <c r="H150" s="30" t="str">
        <f aca="false">IF(A150="","",D150*E150+F150)</f>
        <v/>
      </c>
      <c r="I150" s="30" t="str">
        <f aca="false">IF(A150="","",H150*Settings!$B$5)</f>
        <v/>
      </c>
      <c r="J150" s="30" t="str">
        <f aca="false">IF(A150="","",(H150+G150)*Settings!$B$6+Settings!$B$7)</f>
        <v/>
      </c>
      <c r="K150" s="30" t="str">
        <f aca="false">IF(A150="","",Settings!$B$8*D150)</f>
        <v/>
      </c>
      <c r="L150" s="15"/>
      <c r="M150" s="30" t="str">
        <f aca="false">IF(A150="","",IF(L150="Y",H150*Settings!$B$9,0))</f>
        <v/>
      </c>
      <c r="N150" s="30" t="str">
        <f aca="false">IF(A150="","",H150-I150-J150-K150-M150)</f>
        <v/>
      </c>
      <c r="O150" s="25" t="str">
        <f aca="false">IF(A150="","",LEFT(A150,7))</f>
        <v/>
      </c>
    </row>
    <row r="151" customFormat="false" ht="15" hidden="false" customHeight="false" outlineLevel="0" collapsed="false">
      <c r="A151" s="15"/>
      <c r="B151" s="15"/>
      <c r="C151" s="15"/>
      <c r="D151" s="28"/>
      <c r="E151" s="29"/>
      <c r="F151" s="29"/>
      <c r="G151" s="29"/>
      <c r="H151" s="30" t="str">
        <f aca="false">IF(A151="","",D151*E151+F151)</f>
        <v/>
      </c>
      <c r="I151" s="30" t="str">
        <f aca="false">IF(A151="","",H151*Settings!$B$5)</f>
        <v/>
      </c>
      <c r="J151" s="30" t="str">
        <f aca="false">IF(A151="","",(H151+G151)*Settings!$B$6+Settings!$B$7)</f>
        <v/>
      </c>
      <c r="K151" s="30" t="str">
        <f aca="false">IF(A151="","",Settings!$B$8*D151)</f>
        <v/>
      </c>
      <c r="L151" s="15"/>
      <c r="M151" s="30" t="str">
        <f aca="false">IF(A151="","",IF(L151="Y",H151*Settings!$B$9,0))</f>
        <v/>
      </c>
      <c r="N151" s="30" t="str">
        <f aca="false">IF(A151="","",H151-I151-J151-K151-M151)</f>
        <v/>
      </c>
      <c r="O151" s="25" t="str">
        <f aca="false">IF(A151="","",LEFT(A151,7))</f>
        <v/>
      </c>
    </row>
    <row r="152" customFormat="false" ht="15" hidden="false" customHeight="false" outlineLevel="0" collapsed="false">
      <c r="A152" s="15"/>
      <c r="B152" s="15"/>
      <c r="C152" s="15"/>
      <c r="D152" s="28"/>
      <c r="E152" s="29"/>
      <c r="F152" s="29"/>
      <c r="G152" s="29"/>
      <c r="H152" s="30" t="str">
        <f aca="false">IF(A152="","",D152*E152+F152)</f>
        <v/>
      </c>
      <c r="I152" s="30" t="str">
        <f aca="false">IF(A152="","",H152*Settings!$B$5)</f>
        <v/>
      </c>
      <c r="J152" s="30" t="str">
        <f aca="false">IF(A152="","",(H152+G152)*Settings!$B$6+Settings!$B$7)</f>
        <v/>
      </c>
      <c r="K152" s="30" t="str">
        <f aca="false">IF(A152="","",Settings!$B$8*D152)</f>
        <v/>
      </c>
      <c r="L152" s="15"/>
      <c r="M152" s="30" t="str">
        <f aca="false">IF(A152="","",IF(L152="Y",H152*Settings!$B$9,0))</f>
        <v/>
      </c>
      <c r="N152" s="30" t="str">
        <f aca="false">IF(A152="","",H152-I152-J152-K152-M152)</f>
        <v/>
      </c>
      <c r="O152" s="25" t="str">
        <f aca="false">IF(A152="","",LEFT(A152,7))</f>
        <v/>
      </c>
    </row>
    <row r="153" customFormat="false" ht="15" hidden="false" customHeight="false" outlineLevel="0" collapsed="false">
      <c r="A153" s="15"/>
      <c r="B153" s="15"/>
      <c r="C153" s="15"/>
      <c r="D153" s="28"/>
      <c r="E153" s="29"/>
      <c r="F153" s="29"/>
      <c r="G153" s="29"/>
      <c r="H153" s="30" t="str">
        <f aca="false">IF(A153="","",D153*E153+F153)</f>
        <v/>
      </c>
      <c r="I153" s="30" t="str">
        <f aca="false">IF(A153="","",H153*Settings!$B$5)</f>
        <v/>
      </c>
      <c r="J153" s="30" t="str">
        <f aca="false">IF(A153="","",(H153+G153)*Settings!$B$6+Settings!$B$7)</f>
        <v/>
      </c>
      <c r="K153" s="30" t="str">
        <f aca="false">IF(A153="","",Settings!$B$8*D153)</f>
        <v/>
      </c>
      <c r="L153" s="15"/>
      <c r="M153" s="30" t="str">
        <f aca="false">IF(A153="","",IF(L153="Y",H153*Settings!$B$9,0))</f>
        <v/>
      </c>
      <c r="N153" s="30" t="str">
        <f aca="false">IF(A153="","",H153-I153-J153-K153-M153)</f>
        <v/>
      </c>
      <c r="O153" s="25" t="str">
        <f aca="false">IF(A153="","",LEFT(A153,7))</f>
        <v/>
      </c>
    </row>
    <row r="154" customFormat="false" ht="15" hidden="false" customHeight="false" outlineLevel="0" collapsed="false">
      <c r="A154" s="15"/>
      <c r="B154" s="15"/>
      <c r="C154" s="15"/>
      <c r="D154" s="28"/>
      <c r="E154" s="29"/>
      <c r="F154" s="29"/>
      <c r="G154" s="29"/>
      <c r="H154" s="30" t="str">
        <f aca="false">IF(A154="","",D154*E154+F154)</f>
        <v/>
      </c>
      <c r="I154" s="30" t="str">
        <f aca="false">IF(A154="","",H154*Settings!$B$5)</f>
        <v/>
      </c>
      <c r="J154" s="30" t="str">
        <f aca="false">IF(A154="","",(H154+G154)*Settings!$B$6+Settings!$B$7)</f>
        <v/>
      </c>
      <c r="K154" s="30" t="str">
        <f aca="false">IF(A154="","",Settings!$B$8*D154)</f>
        <v/>
      </c>
      <c r="L154" s="15"/>
      <c r="M154" s="30" t="str">
        <f aca="false">IF(A154="","",IF(L154="Y",H154*Settings!$B$9,0))</f>
        <v/>
      </c>
      <c r="N154" s="30" t="str">
        <f aca="false">IF(A154="","",H154-I154-J154-K154-M154)</f>
        <v/>
      </c>
      <c r="O154" s="25" t="str">
        <f aca="false">IF(A154="","",LEFT(A154,7))</f>
        <v/>
      </c>
    </row>
    <row r="155" customFormat="false" ht="15" hidden="false" customHeight="false" outlineLevel="0" collapsed="false">
      <c r="A155" s="15"/>
      <c r="B155" s="15"/>
      <c r="C155" s="15"/>
      <c r="D155" s="28"/>
      <c r="E155" s="29"/>
      <c r="F155" s="29"/>
      <c r="G155" s="29"/>
      <c r="H155" s="30" t="str">
        <f aca="false">IF(A155="","",D155*E155+F155)</f>
        <v/>
      </c>
      <c r="I155" s="30" t="str">
        <f aca="false">IF(A155="","",H155*Settings!$B$5)</f>
        <v/>
      </c>
      <c r="J155" s="30" t="str">
        <f aca="false">IF(A155="","",(H155+G155)*Settings!$B$6+Settings!$B$7)</f>
        <v/>
      </c>
      <c r="K155" s="30" t="str">
        <f aca="false">IF(A155="","",Settings!$B$8*D155)</f>
        <v/>
      </c>
      <c r="L155" s="15"/>
      <c r="M155" s="30" t="str">
        <f aca="false">IF(A155="","",IF(L155="Y",H155*Settings!$B$9,0))</f>
        <v/>
      </c>
      <c r="N155" s="30" t="str">
        <f aca="false">IF(A155="","",H155-I155-J155-K155-M155)</f>
        <v/>
      </c>
      <c r="O155" s="25" t="str">
        <f aca="false">IF(A155="","",LEFT(A155,7))</f>
        <v/>
      </c>
    </row>
    <row r="156" customFormat="false" ht="15" hidden="false" customHeight="false" outlineLevel="0" collapsed="false">
      <c r="A156" s="15"/>
      <c r="B156" s="15"/>
      <c r="C156" s="15"/>
      <c r="D156" s="28"/>
      <c r="E156" s="29"/>
      <c r="F156" s="29"/>
      <c r="G156" s="29"/>
      <c r="H156" s="30" t="str">
        <f aca="false">IF(A156="","",D156*E156+F156)</f>
        <v/>
      </c>
      <c r="I156" s="30" t="str">
        <f aca="false">IF(A156="","",H156*Settings!$B$5)</f>
        <v/>
      </c>
      <c r="J156" s="30" t="str">
        <f aca="false">IF(A156="","",(H156+G156)*Settings!$B$6+Settings!$B$7)</f>
        <v/>
      </c>
      <c r="K156" s="30" t="str">
        <f aca="false">IF(A156="","",Settings!$B$8*D156)</f>
        <v/>
      </c>
      <c r="L156" s="15"/>
      <c r="M156" s="30" t="str">
        <f aca="false">IF(A156="","",IF(L156="Y",H156*Settings!$B$9,0))</f>
        <v/>
      </c>
      <c r="N156" s="30" t="str">
        <f aca="false">IF(A156="","",H156-I156-J156-K156-M156)</f>
        <v/>
      </c>
      <c r="O156" s="25" t="str">
        <f aca="false">IF(A156="","",LEFT(A156,7))</f>
        <v/>
      </c>
    </row>
    <row r="157" customFormat="false" ht="15" hidden="false" customHeight="false" outlineLevel="0" collapsed="false">
      <c r="A157" s="15"/>
      <c r="B157" s="15"/>
      <c r="C157" s="15"/>
      <c r="D157" s="28"/>
      <c r="E157" s="29"/>
      <c r="F157" s="29"/>
      <c r="G157" s="29"/>
      <c r="H157" s="30" t="str">
        <f aca="false">IF(A157="","",D157*E157+F157)</f>
        <v/>
      </c>
      <c r="I157" s="30" t="str">
        <f aca="false">IF(A157="","",H157*Settings!$B$5)</f>
        <v/>
      </c>
      <c r="J157" s="30" t="str">
        <f aca="false">IF(A157="","",(H157+G157)*Settings!$B$6+Settings!$B$7)</f>
        <v/>
      </c>
      <c r="K157" s="30" t="str">
        <f aca="false">IF(A157="","",Settings!$B$8*D157)</f>
        <v/>
      </c>
      <c r="L157" s="15"/>
      <c r="M157" s="30" t="str">
        <f aca="false">IF(A157="","",IF(L157="Y",H157*Settings!$B$9,0))</f>
        <v/>
      </c>
      <c r="N157" s="30" t="str">
        <f aca="false">IF(A157="","",H157-I157-J157-K157-M157)</f>
        <v/>
      </c>
      <c r="O157" s="25" t="str">
        <f aca="false">IF(A157="","",LEFT(A157,7))</f>
        <v/>
      </c>
    </row>
    <row r="158" customFormat="false" ht="15" hidden="false" customHeight="false" outlineLevel="0" collapsed="false">
      <c r="A158" s="15"/>
      <c r="B158" s="15"/>
      <c r="C158" s="15"/>
      <c r="D158" s="28"/>
      <c r="E158" s="29"/>
      <c r="F158" s="29"/>
      <c r="G158" s="29"/>
      <c r="H158" s="30" t="str">
        <f aca="false">IF(A158="","",D158*E158+F158)</f>
        <v/>
      </c>
      <c r="I158" s="30" t="str">
        <f aca="false">IF(A158="","",H158*Settings!$B$5)</f>
        <v/>
      </c>
      <c r="J158" s="30" t="str">
        <f aca="false">IF(A158="","",(H158+G158)*Settings!$B$6+Settings!$B$7)</f>
        <v/>
      </c>
      <c r="K158" s="30" t="str">
        <f aca="false">IF(A158="","",Settings!$B$8*D158)</f>
        <v/>
      </c>
      <c r="L158" s="15"/>
      <c r="M158" s="30" t="str">
        <f aca="false">IF(A158="","",IF(L158="Y",H158*Settings!$B$9,0))</f>
        <v/>
      </c>
      <c r="N158" s="30" t="str">
        <f aca="false">IF(A158="","",H158-I158-J158-K158-M158)</f>
        <v/>
      </c>
      <c r="O158" s="25" t="str">
        <f aca="false">IF(A158="","",LEFT(A158,7))</f>
        <v/>
      </c>
    </row>
    <row r="159" customFormat="false" ht="15" hidden="false" customHeight="false" outlineLevel="0" collapsed="false">
      <c r="A159" s="15"/>
      <c r="B159" s="15"/>
      <c r="C159" s="15"/>
      <c r="D159" s="28"/>
      <c r="E159" s="29"/>
      <c r="F159" s="29"/>
      <c r="G159" s="29"/>
      <c r="H159" s="30" t="str">
        <f aca="false">IF(A159="","",D159*E159+F159)</f>
        <v/>
      </c>
      <c r="I159" s="30" t="str">
        <f aca="false">IF(A159="","",H159*Settings!$B$5)</f>
        <v/>
      </c>
      <c r="J159" s="30" t="str">
        <f aca="false">IF(A159="","",(H159+G159)*Settings!$B$6+Settings!$B$7)</f>
        <v/>
      </c>
      <c r="K159" s="30" t="str">
        <f aca="false">IF(A159="","",Settings!$B$8*D159)</f>
        <v/>
      </c>
      <c r="L159" s="15"/>
      <c r="M159" s="30" t="str">
        <f aca="false">IF(A159="","",IF(L159="Y",H159*Settings!$B$9,0))</f>
        <v/>
      </c>
      <c r="N159" s="30" t="str">
        <f aca="false">IF(A159="","",H159-I159-J159-K159-M159)</f>
        <v/>
      </c>
      <c r="O159" s="25" t="str">
        <f aca="false">IF(A159="","",LEFT(A159,7))</f>
        <v/>
      </c>
    </row>
    <row r="160" customFormat="false" ht="15" hidden="false" customHeight="false" outlineLevel="0" collapsed="false">
      <c r="A160" s="15"/>
      <c r="B160" s="15"/>
      <c r="C160" s="15"/>
      <c r="D160" s="28"/>
      <c r="E160" s="29"/>
      <c r="F160" s="29"/>
      <c r="G160" s="29"/>
      <c r="H160" s="30" t="str">
        <f aca="false">IF(A160="","",D160*E160+F160)</f>
        <v/>
      </c>
      <c r="I160" s="30" t="str">
        <f aca="false">IF(A160="","",H160*Settings!$B$5)</f>
        <v/>
      </c>
      <c r="J160" s="30" t="str">
        <f aca="false">IF(A160="","",(H160+G160)*Settings!$B$6+Settings!$B$7)</f>
        <v/>
      </c>
      <c r="K160" s="30" t="str">
        <f aca="false">IF(A160="","",Settings!$B$8*D160)</f>
        <v/>
      </c>
      <c r="L160" s="15"/>
      <c r="M160" s="30" t="str">
        <f aca="false">IF(A160="","",IF(L160="Y",H160*Settings!$B$9,0))</f>
        <v/>
      </c>
      <c r="N160" s="30" t="str">
        <f aca="false">IF(A160="","",H160-I160-J160-K160-M160)</f>
        <v/>
      </c>
      <c r="O160" s="25" t="str">
        <f aca="false">IF(A160="","",LEFT(A160,7))</f>
        <v/>
      </c>
    </row>
    <row r="161" customFormat="false" ht="15" hidden="false" customHeight="false" outlineLevel="0" collapsed="false">
      <c r="A161" s="15"/>
      <c r="B161" s="15"/>
      <c r="C161" s="15"/>
      <c r="D161" s="28"/>
      <c r="E161" s="29"/>
      <c r="F161" s="29"/>
      <c r="G161" s="29"/>
      <c r="H161" s="30" t="str">
        <f aca="false">IF(A161="","",D161*E161+F161)</f>
        <v/>
      </c>
      <c r="I161" s="30" t="str">
        <f aca="false">IF(A161="","",H161*Settings!$B$5)</f>
        <v/>
      </c>
      <c r="J161" s="30" t="str">
        <f aca="false">IF(A161="","",(H161+G161)*Settings!$B$6+Settings!$B$7)</f>
        <v/>
      </c>
      <c r="K161" s="30" t="str">
        <f aca="false">IF(A161="","",Settings!$B$8*D161)</f>
        <v/>
      </c>
      <c r="L161" s="15"/>
      <c r="M161" s="30" t="str">
        <f aca="false">IF(A161="","",IF(L161="Y",H161*Settings!$B$9,0))</f>
        <v/>
      </c>
      <c r="N161" s="30" t="str">
        <f aca="false">IF(A161="","",H161-I161-J161-K161-M161)</f>
        <v/>
      </c>
      <c r="O161" s="25" t="str">
        <f aca="false">IF(A161="","",LEFT(A161,7))</f>
        <v/>
      </c>
    </row>
    <row r="162" customFormat="false" ht="15" hidden="false" customHeight="false" outlineLevel="0" collapsed="false">
      <c r="A162" s="15"/>
      <c r="B162" s="15"/>
      <c r="C162" s="15"/>
      <c r="D162" s="28"/>
      <c r="E162" s="29"/>
      <c r="F162" s="29"/>
      <c r="G162" s="29"/>
      <c r="H162" s="30" t="str">
        <f aca="false">IF(A162="","",D162*E162+F162)</f>
        <v/>
      </c>
      <c r="I162" s="30" t="str">
        <f aca="false">IF(A162="","",H162*Settings!$B$5)</f>
        <v/>
      </c>
      <c r="J162" s="30" t="str">
        <f aca="false">IF(A162="","",(H162+G162)*Settings!$B$6+Settings!$B$7)</f>
        <v/>
      </c>
      <c r="K162" s="30" t="str">
        <f aca="false">IF(A162="","",Settings!$B$8*D162)</f>
        <v/>
      </c>
      <c r="L162" s="15"/>
      <c r="M162" s="30" t="str">
        <f aca="false">IF(A162="","",IF(L162="Y",H162*Settings!$B$9,0))</f>
        <v/>
      </c>
      <c r="N162" s="30" t="str">
        <f aca="false">IF(A162="","",H162-I162-J162-K162-M162)</f>
        <v/>
      </c>
      <c r="O162" s="25" t="str">
        <f aca="false">IF(A162="","",LEFT(A162,7))</f>
        <v/>
      </c>
    </row>
    <row r="163" customFormat="false" ht="15" hidden="false" customHeight="false" outlineLevel="0" collapsed="false">
      <c r="A163" s="15"/>
      <c r="B163" s="15"/>
      <c r="C163" s="15"/>
      <c r="D163" s="28"/>
      <c r="E163" s="29"/>
      <c r="F163" s="29"/>
      <c r="G163" s="29"/>
      <c r="H163" s="30" t="str">
        <f aca="false">IF(A163="","",D163*E163+F163)</f>
        <v/>
      </c>
      <c r="I163" s="30" t="str">
        <f aca="false">IF(A163="","",H163*Settings!$B$5)</f>
        <v/>
      </c>
      <c r="J163" s="30" t="str">
        <f aca="false">IF(A163="","",(H163+G163)*Settings!$B$6+Settings!$B$7)</f>
        <v/>
      </c>
      <c r="K163" s="30" t="str">
        <f aca="false">IF(A163="","",Settings!$B$8*D163)</f>
        <v/>
      </c>
      <c r="L163" s="15"/>
      <c r="M163" s="30" t="str">
        <f aca="false">IF(A163="","",IF(L163="Y",H163*Settings!$B$9,0))</f>
        <v/>
      </c>
      <c r="N163" s="30" t="str">
        <f aca="false">IF(A163="","",H163-I163-J163-K163-M163)</f>
        <v/>
      </c>
      <c r="O163" s="25" t="str">
        <f aca="false">IF(A163="","",LEFT(A163,7))</f>
        <v/>
      </c>
    </row>
    <row r="164" customFormat="false" ht="15" hidden="false" customHeight="false" outlineLevel="0" collapsed="false">
      <c r="A164" s="15"/>
      <c r="B164" s="15"/>
      <c r="C164" s="15"/>
      <c r="D164" s="28"/>
      <c r="E164" s="29"/>
      <c r="F164" s="29"/>
      <c r="G164" s="29"/>
      <c r="H164" s="30" t="str">
        <f aca="false">IF(A164="","",D164*E164+F164)</f>
        <v/>
      </c>
      <c r="I164" s="30" t="str">
        <f aca="false">IF(A164="","",H164*Settings!$B$5)</f>
        <v/>
      </c>
      <c r="J164" s="30" t="str">
        <f aca="false">IF(A164="","",(H164+G164)*Settings!$B$6+Settings!$B$7)</f>
        <v/>
      </c>
      <c r="K164" s="30" t="str">
        <f aca="false">IF(A164="","",Settings!$B$8*D164)</f>
        <v/>
      </c>
      <c r="L164" s="15"/>
      <c r="M164" s="30" t="str">
        <f aca="false">IF(A164="","",IF(L164="Y",H164*Settings!$B$9,0))</f>
        <v/>
      </c>
      <c r="N164" s="30" t="str">
        <f aca="false">IF(A164="","",H164-I164-J164-K164-M164)</f>
        <v/>
      </c>
      <c r="O164" s="25" t="str">
        <f aca="false">IF(A164="","",LEFT(A164,7))</f>
        <v/>
      </c>
    </row>
    <row r="165" customFormat="false" ht="15" hidden="false" customHeight="false" outlineLevel="0" collapsed="false">
      <c r="A165" s="15"/>
      <c r="B165" s="15"/>
      <c r="C165" s="15"/>
      <c r="D165" s="28"/>
      <c r="E165" s="29"/>
      <c r="F165" s="29"/>
      <c r="G165" s="29"/>
      <c r="H165" s="30" t="str">
        <f aca="false">IF(A165="","",D165*E165+F165)</f>
        <v/>
      </c>
      <c r="I165" s="30" t="str">
        <f aca="false">IF(A165="","",H165*Settings!$B$5)</f>
        <v/>
      </c>
      <c r="J165" s="30" t="str">
        <f aca="false">IF(A165="","",(H165+G165)*Settings!$B$6+Settings!$B$7)</f>
        <v/>
      </c>
      <c r="K165" s="30" t="str">
        <f aca="false">IF(A165="","",Settings!$B$8*D165)</f>
        <v/>
      </c>
      <c r="L165" s="15"/>
      <c r="M165" s="30" t="str">
        <f aca="false">IF(A165="","",IF(L165="Y",H165*Settings!$B$9,0))</f>
        <v/>
      </c>
      <c r="N165" s="30" t="str">
        <f aca="false">IF(A165="","",H165-I165-J165-K165-M165)</f>
        <v/>
      </c>
      <c r="O165" s="25" t="str">
        <f aca="false">IF(A165="","",LEFT(A165,7))</f>
        <v/>
      </c>
    </row>
    <row r="166" customFormat="false" ht="15" hidden="false" customHeight="false" outlineLevel="0" collapsed="false">
      <c r="A166" s="15"/>
      <c r="B166" s="15"/>
      <c r="C166" s="15"/>
      <c r="D166" s="28"/>
      <c r="E166" s="29"/>
      <c r="F166" s="29"/>
      <c r="G166" s="29"/>
      <c r="H166" s="30" t="str">
        <f aca="false">IF(A166="","",D166*E166+F166)</f>
        <v/>
      </c>
      <c r="I166" s="30" t="str">
        <f aca="false">IF(A166="","",H166*Settings!$B$5)</f>
        <v/>
      </c>
      <c r="J166" s="30" t="str">
        <f aca="false">IF(A166="","",(H166+G166)*Settings!$B$6+Settings!$B$7)</f>
        <v/>
      </c>
      <c r="K166" s="30" t="str">
        <f aca="false">IF(A166="","",Settings!$B$8*D166)</f>
        <v/>
      </c>
      <c r="L166" s="15"/>
      <c r="M166" s="30" t="str">
        <f aca="false">IF(A166="","",IF(L166="Y",H166*Settings!$B$9,0))</f>
        <v/>
      </c>
      <c r="N166" s="30" t="str">
        <f aca="false">IF(A166="","",H166-I166-J166-K166-M166)</f>
        <v/>
      </c>
      <c r="O166" s="25" t="str">
        <f aca="false">IF(A166="","",LEFT(A166,7))</f>
        <v/>
      </c>
    </row>
    <row r="167" customFormat="false" ht="15" hidden="false" customHeight="false" outlineLevel="0" collapsed="false">
      <c r="A167" s="15"/>
      <c r="B167" s="15"/>
      <c r="C167" s="15"/>
      <c r="D167" s="28"/>
      <c r="E167" s="29"/>
      <c r="F167" s="29"/>
      <c r="G167" s="29"/>
      <c r="H167" s="30" t="str">
        <f aca="false">IF(A167="","",D167*E167+F167)</f>
        <v/>
      </c>
      <c r="I167" s="30" t="str">
        <f aca="false">IF(A167="","",H167*Settings!$B$5)</f>
        <v/>
      </c>
      <c r="J167" s="30" t="str">
        <f aca="false">IF(A167="","",(H167+G167)*Settings!$B$6+Settings!$B$7)</f>
        <v/>
      </c>
      <c r="K167" s="30" t="str">
        <f aca="false">IF(A167="","",Settings!$B$8*D167)</f>
        <v/>
      </c>
      <c r="L167" s="15"/>
      <c r="M167" s="30" t="str">
        <f aca="false">IF(A167="","",IF(L167="Y",H167*Settings!$B$9,0))</f>
        <v/>
      </c>
      <c r="N167" s="30" t="str">
        <f aca="false">IF(A167="","",H167-I167-J167-K167-M167)</f>
        <v/>
      </c>
      <c r="O167" s="25" t="str">
        <f aca="false">IF(A167="","",LEFT(A167,7))</f>
        <v/>
      </c>
    </row>
    <row r="168" customFormat="false" ht="15" hidden="false" customHeight="false" outlineLevel="0" collapsed="false">
      <c r="A168" s="15"/>
      <c r="B168" s="15"/>
      <c r="C168" s="15"/>
      <c r="D168" s="28"/>
      <c r="E168" s="29"/>
      <c r="F168" s="29"/>
      <c r="G168" s="29"/>
      <c r="H168" s="30" t="str">
        <f aca="false">IF(A168="","",D168*E168+F168)</f>
        <v/>
      </c>
      <c r="I168" s="30" t="str">
        <f aca="false">IF(A168="","",H168*Settings!$B$5)</f>
        <v/>
      </c>
      <c r="J168" s="30" t="str">
        <f aca="false">IF(A168="","",(H168+G168)*Settings!$B$6+Settings!$B$7)</f>
        <v/>
      </c>
      <c r="K168" s="30" t="str">
        <f aca="false">IF(A168="","",Settings!$B$8*D168)</f>
        <v/>
      </c>
      <c r="L168" s="15"/>
      <c r="M168" s="30" t="str">
        <f aca="false">IF(A168="","",IF(L168="Y",H168*Settings!$B$9,0))</f>
        <v/>
      </c>
      <c r="N168" s="30" t="str">
        <f aca="false">IF(A168="","",H168-I168-J168-K168-M168)</f>
        <v/>
      </c>
      <c r="O168" s="25" t="str">
        <f aca="false">IF(A168="","",LEFT(A168,7))</f>
        <v/>
      </c>
    </row>
    <row r="169" customFormat="false" ht="15" hidden="false" customHeight="false" outlineLevel="0" collapsed="false">
      <c r="A169" s="15"/>
      <c r="B169" s="15"/>
      <c r="C169" s="15"/>
      <c r="D169" s="28"/>
      <c r="E169" s="29"/>
      <c r="F169" s="29"/>
      <c r="G169" s="29"/>
      <c r="H169" s="30" t="str">
        <f aca="false">IF(A169="","",D169*E169+F169)</f>
        <v/>
      </c>
      <c r="I169" s="30" t="str">
        <f aca="false">IF(A169="","",H169*Settings!$B$5)</f>
        <v/>
      </c>
      <c r="J169" s="30" t="str">
        <f aca="false">IF(A169="","",(H169+G169)*Settings!$B$6+Settings!$B$7)</f>
        <v/>
      </c>
      <c r="K169" s="30" t="str">
        <f aca="false">IF(A169="","",Settings!$B$8*D169)</f>
        <v/>
      </c>
      <c r="L169" s="15"/>
      <c r="M169" s="30" t="str">
        <f aca="false">IF(A169="","",IF(L169="Y",H169*Settings!$B$9,0))</f>
        <v/>
      </c>
      <c r="N169" s="30" t="str">
        <f aca="false">IF(A169="","",H169-I169-J169-K169-M169)</f>
        <v/>
      </c>
      <c r="O169" s="25" t="str">
        <f aca="false">IF(A169="","",LEFT(A169,7))</f>
        <v/>
      </c>
    </row>
    <row r="170" customFormat="false" ht="15" hidden="false" customHeight="false" outlineLevel="0" collapsed="false">
      <c r="A170" s="15"/>
      <c r="B170" s="15"/>
      <c r="C170" s="15"/>
      <c r="D170" s="28"/>
      <c r="E170" s="29"/>
      <c r="F170" s="29"/>
      <c r="G170" s="29"/>
      <c r="H170" s="30" t="str">
        <f aca="false">IF(A170="","",D170*E170+F170)</f>
        <v/>
      </c>
      <c r="I170" s="30" t="str">
        <f aca="false">IF(A170="","",H170*Settings!$B$5)</f>
        <v/>
      </c>
      <c r="J170" s="30" t="str">
        <f aca="false">IF(A170="","",(H170+G170)*Settings!$B$6+Settings!$B$7)</f>
        <v/>
      </c>
      <c r="K170" s="30" t="str">
        <f aca="false">IF(A170="","",Settings!$B$8*D170)</f>
        <v/>
      </c>
      <c r="L170" s="15"/>
      <c r="M170" s="30" t="str">
        <f aca="false">IF(A170="","",IF(L170="Y",H170*Settings!$B$9,0))</f>
        <v/>
      </c>
      <c r="N170" s="30" t="str">
        <f aca="false">IF(A170="","",H170-I170-J170-K170-M170)</f>
        <v/>
      </c>
      <c r="O170" s="25" t="str">
        <f aca="false">IF(A170="","",LEFT(A170,7))</f>
        <v/>
      </c>
    </row>
    <row r="171" customFormat="false" ht="15" hidden="false" customHeight="false" outlineLevel="0" collapsed="false">
      <c r="A171" s="15"/>
      <c r="B171" s="15"/>
      <c r="C171" s="15"/>
      <c r="D171" s="28"/>
      <c r="E171" s="29"/>
      <c r="F171" s="29"/>
      <c r="G171" s="29"/>
      <c r="H171" s="30" t="str">
        <f aca="false">IF(A171="","",D171*E171+F171)</f>
        <v/>
      </c>
      <c r="I171" s="30" t="str">
        <f aca="false">IF(A171="","",H171*Settings!$B$5)</f>
        <v/>
      </c>
      <c r="J171" s="30" t="str">
        <f aca="false">IF(A171="","",(H171+G171)*Settings!$B$6+Settings!$B$7)</f>
        <v/>
      </c>
      <c r="K171" s="30" t="str">
        <f aca="false">IF(A171="","",Settings!$B$8*D171)</f>
        <v/>
      </c>
      <c r="L171" s="15"/>
      <c r="M171" s="30" t="str">
        <f aca="false">IF(A171="","",IF(L171="Y",H171*Settings!$B$9,0))</f>
        <v/>
      </c>
      <c r="N171" s="30" t="str">
        <f aca="false">IF(A171="","",H171-I171-J171-K171-M171)</f>
        <v/>
      </c>
      <c r="O171" s="25" t="str">
        <f aca="false">IF(A171="","",LEFT(A171,7))</f>
        <v/>
      </c>
    </row>
    <row r="172" customFormat="false" ht="15" hidden="false" customHeight="false" outlineLevel="0" collapsed="false">
      <c r="A172" s="15"/>
      <c r="B172" s="15"/>
      <c r="C172" s="15"/>
      <c r="D172" s="28"/>
      <c r="E172" s="29"/>
      <c r="F172" s="29"/>
      <c r="G172" s="29"/>
      <c r="H172" s="30" t="str">
        <f aca="false">IF(A172="","",D172*E172+F172)</f>
        <v/>
      </c>
      <c r="I172" s="30" t="str">
        <f aca="false">IF(A172="","",H172*Settings!$B$5)</f>
        <v/>
      </c>
      <c r="J172" s="30" t="str">
        <f aca="false">IF(A172="","",(H172+G172)*Settings!$B$6+Settings!$B$7)</f>
        <v/>
      </c>
      <c r="K172" s="30" t="str">
        <f aca="false">IF(A172="","",Settings!$B$8*D172)</f>
        <v/>
      </c>
      <c r="L172" s="15"/>
      <c r="M172" s="30" t="str">
        <f aca="false">IF(A172="","",IF(L172="Y",H172*Settings!$B$9,0))</f>
        <v/>
      </c>
      <c r="N172" s="30" t="str">
        <f aca="false">IF(A172="","",H172-I172-J172-K172-M172)</f>
        <v/>
      </c>
      <c r="O172" s="25" t="str">
        <f aca="false">IF(A172="","",LEFT(A172,7))</f>
        <v/>
      </c>
    </row>
    <row r="173" customFormat="false" ht="15" hidden="false" customHeight="false" outlineLevel="0" collapsed="false">
      <c r="A173" s="15"/>
      <c r="B173" s="15"/>
      <c r="C173" s="15"/>
      <c r="D173" s="28"/>
      <c r="E173" s="29"/>
      <c r="F173" s="29"/>
      <c r="G173" s="29"/>
      <c r="H173" s="30" t="str">
        <f aca="false">IF(A173="","",D173*E173+F173)</f>
        <v/>
      </c>
      <c r="I173" s="30" t="str">
        <f aca="false">IF(A173="","",H173*Settings!$B$5)</f>
        <v/>
      </c>
      <c r="J173" s="30" t="str">
        <f aca="false">IF(A173="","",(H173+G173)*Settings!$B$6+Settings!$B$7)</f>
        <v/>
      </c>
      <c r="K173" s="30" t="str">
        <f aca="false">IF(A173="","",Settings!$B$8*D173)</f>
        <v/>
      </c>
      <c r="L173" s="15"/>
      <c r="M173" s="30" t="str">
        <f aca="false">IF(A173="","",IF(L173="Y",H173*Settings!$B$9,0))</f>
        <v/>
      </c>
      <c r="N173" s="30" t="str">
        <f aca="false">IF(A173="","",H173-I173-J173-K173-M173)</f>
        <v/>
      </c>
      <c r="O173" s="25" t="str">
        <f aca="false">IF(A173="","",LEFT(A173,7))</f>
        <v/>
      </c>
    </row>
    <row r="174" customFormat="false" ht="15" hidden="false" customHeight="false" outlineLevel="0" collapsed="false">
      <c r="A174" s="15"/>
      <c r="B174" s="15"/>
      <c r="C174" s="15"/>
      <c r="D174" s="28"/>
      <c r="E174" s="29"/>
      <c r="F174" s="29"/>
      <c r="G174" s="29"/>
      <c r="H174" s="30" t="str">
        <f aca="false">IF(A174="","",D174*E174+F174)</f>
        <v/>
      </c>
      <c r="I174" s="30" t="str">
        <f aca="false">IF(A174="","",H174*Settings!$B$5)</f>
        <v/>
      </c>
      <c r="J174" s="30" t="str">
        <f aca="false">IF(A174="","",(H174+G174)*Settings!$B$6+Settings!$B$7)</f>
        <v/>
      </c>
      <c r="K174" s="30" t="str">
        <f aca="false">IF(A174="","",Settings!$B$8*D174)</f>
        <v/>
      </c>
      <c r="L174" s="15"/>
      <c r="M174" s="30" t="str">
        <f aca="false">IF(A174="","",IF(L174="Y",H174*Settings!$B$9,0))</f>
        <v/>
      </c>
      <c r="N174" s="30" t="str">
        <f aca="false">IF(A174="","",H174-I174-J174-K174-M174)</f>
        <v/>
      </c>
      <c r="O174" s="25" t="str">
        <f aca="false">IF(A174="","",LEFT(A174,7))</f>
        <v/>
      </c>
    </row>
    <row r="175" customFormat="false" ht="15" hidden="false" customHeight="false" outlineLevel="0" collapsed="false">
      <c r="A175" s="15"/>
      <c r="B175" s="15"/>
      <c r="C175" s="15"/>
      <c r="D175" s="28"/>
      <c r="E175" s="29"/>
      <c r="F175" s="29"/>
      <c r="G175" s="29"/>
      <c r="H175" s="30" t="str">
        <f aca="false">IF(A175="","",D175*E175+F175)</f>
        <v/>
      </c>
      <c r="I175" s="30" t="str">
        <f aca="false">IF(A175="","",H175*Settings!$B$5)</f>
        <v/>
      </c>
      <c r="J175" s="30" t="str">
        <f aca="false">IF(A175="","",(H175+G175)*Settings!$B$6+Settings!$B$7)</f>
        <v/>
      </c>
      <c r="K175" s="30" t="str">
        <f aca="false">IF(A175="","",Settings!$B$8*D175)</f>
        <v/>
      </c>
      <c r="L175" s="15"/>
      <c r="M175" s="30" t="str">
        <f aca="false">IF(A175="","",IF(L175="Y",H175*Settings!$B$9,0))</f>
        <v/>
      </c>
      <c r="N175" s="30" t="str">
        <f aca="false">IF(A175="","",H175-I175-J175-K175-M175)</f>
        <v/>
      </c>
      <c r="O175" s="25" t="str">
        <f aca="false">IF(A175="","",LEFT(A175,7))</f>
        <v/>
      </c>
    </row>
    <row r="176" customFormat="false" ht="15" hidden="false" customHeight="false" outlineLevel="0" collapsed="false">
      <c r="A176" s="15"/>
      <c r="B176" s="15"/>
      <c r="C176" s="15"/>
      <c r="D176" s="28"/>
      <c r="E176" s="29"/>
      <c r="F176" s="29"/>
      <c r="G176" s="29"/>
      <c r="H176" s="30" t="str">
        <f aca="false">IF(A176="","",D176*E176+F176)</f>
        <v/>
      </c>
      <c r="I176" s="30" t="str">
        <f aca="false">IF(A176="","",H176*Settings!$B$5)</f>
        <v/>
      </c>
      <c r="J176" s="30" t="str">
        <f aca="false">IF(A176="","",(H176+G176)*Settings!$B$6+Settings!$B$7)</f>
        <v/>
      </c>
      <c r="K176" s="30" t="str">
        <f aca="false">IF(A176="","",Settings!$B$8*D176)</f>
        <v/>
      </c>
      <c r="L176" s="15"/>
      <c r="M176" s="30" t="str">
        <f aca="false">IF(A176="","",IF(L176="Y",H176*Settings!$B$9,0))</f>
        <v/>
      </c>
      <c r="N176" s="30" t="str">
        <f aca="false">IF(A176="","",H176-I176-J176-K176-M176)</f>
        <v/>
      </c>
      <c r="O176" s="25" t="str">
        <f aca="false">IF(A176="","",LEFT(A176,7))</f>
        <v/>
      </c>
    </row>
    <row r="177" customFormat="false" ht="15" hidden="false" customHeight="false" outlineLevel="0" collapsed="false">
      <c r="A177" s="15"/>
      <c r="B177" s="15"/>
      <c r="C177" s="15"/>
      <c r="D177" s="28"/>
      <c r="E177" s="29"/>
      <c r="F177" s="29"/>
      <c r="G177" s="29"/>
      <c r="H177" s="30" t="str">
        <f aca="false">IF(A177="","",D177*E177+F177)</f>
        <v/>
      </c>
      <c r="I177" s="30" t="str">
        <f aca="false">IF(A177="","",H177*Settings!$B$5)</f>
        <v/>
      </c>
      <c r="J177" s="30" t="str">
        <f aca="false">IF(A177="","",(H177+G177)*Settings!$B$6+Settings!$B$7)</f>
        <v/>
      </c>
      <c r="K177" s="30" t="str">
        <f aca="false">IF(A177="","",Settings!$B$8*D177)</f>
        <v/>
      </c>
      <c r="L177" s="15"/>
      <c r="M177" s="30" t="str">
        <f aca="false">IF(A177="","",IF(L177="Y",H177*Settings!$B$9,0))</f>
        <v/>
      </c>
      <c r="N177" s="30" t="str">
        <f aca="false">IF(A177="","",H177-I177-J177-K177-M177)</f>
        <v/>
      </c>
      <c r="O177" s="25" t="str">
        <f aca="false">IF(A177="","",LEFT(A177,7))</f>
        <v/>
      </c>
    </row>
    <row r="178" customFormat="false" ht="15" hidden="false" customHeight="false" outlineLevel="0" collapsed="false">
      <c r="A178" s="15"/>
      <c r="B178" s="15"/>
      <c r="C178" s="15"/>
      <c r="D178" s="28"/>
      <c r="E178" s="29"/>
      <c r="F178" s="29"/>
      <c r="G178" s="29"/>
      <c r="H178" s="30" t="str">
        <f aca="false">IF(A178="","",D178*E178+F178)</f>
        <v/>
      </c>
      <c r="I178" s="30" t="str">
        <f aca="false">IF(A178="","",H178*Settings!$B$5)</f>
        <v/>
      </c>
      <c r="J178" s="30" t="str">
        <f aca="false">IF(A178="","",(H178+G178)*Settings!$B$6+Settings!$B$7)</f>
        <v/>
      </c>
      <c r="K178" s="30" t="str">
        <f aca="false">IF(A178="","",Settings!$B$8*D178)</f>
        <v/>
      </c>
      <c r="L178" s="15"/>
      <c r="M178" s="30" t="str">
        <f aca="false">IF(A178="","",IF(L178="Y",H178*Settings!$B$9,0))</f>
        <v/>
      </c>
      <c r="N178" s="30" t="str">
        <f aca="false">IF(A178="","",H178-I178-J178-K178-M178)</f>
        <v/>
      </c>
      <c r="O178" s="25" t="str">
        <f aca="false">IF(A178="","",LEFT(A178,7))</f>
        <v/>
      </c>
    </row>
    <row r="179" customFormat="false" ht="15" hidden="false" customHeight="false" outlineLevel="0" collapsed="false">
      <c r="A179" s="15"/>
      <c r="B179" s="15"/>
      <c r="C179" s="15"/>
      <c r="D179" s="28"/>
      <c r="E179" s="29"/>
      <c r="F179" s="29"/>
      <c r="G179" s="29"/>
      <c r="H179" s="30" t="str">
        <f aca="false">IF(A179="","",D179*E179+F179)</f>
        <v/>
      </c>
      <c r="I179" s="30" t="str">
        <f aca="false">IF(A179="","",H179*Settings!$B$5)</f>
        <v/>
      </c>
      <c r="J179" s="30" t="str">
        <f aca="false">IF(A179="","",(H179+G179)*Settings!$B$6+Settings!$B$7)</f>
        <v/>
      </c>
      <c r="K179" s="30" t="str">
        <f aca="false">IF(A179="","",Settings!$B$8*D179)</f>
        <v/>
      </c>
      <c r="L179" s="15"/>
      <c r="M179" s="30" t="str">
        <f aca="false">IF(A179="","",IF(L179="Y",H179*Settings!$B$9,0))</f>
        <v/>
      </c>
      <c r="N179" s="30" t="str">
        <f aca="false">IF(A179="","",H179-I179-J179-K179-M179)</f>
        <v/>
      </c>
      <c r="O179" s="25" t="str">
        <f aca="false">IF(A179="","",LEFT(A179,7))</f>
        <v/>
      </c>
    </row>
    <row r="180" customFormat="false" ht="15" hidden="false" customHeight="false" outlineLevel="0" collapsed="false">
      <c r="A180" s="15"/>
      <c r="B180" s="15"/>
      <c r="C180" s="15"/>
      <c r="D180" s="28"/>
      <c r="E180" s="29"/>
      <c r="F180" s="29"/>
      <c r="G180" s="29"/>
      <c r="H180" s="30" t="str">
        <f aca="false">IF(A180="","",D180*E180+F180)</f>
        <v/>
      </c>
      <c r="I180" s="30" t="str">
        <f aca="false">IF(A180="","",H180*Settings!$B$5)</f>
        <v/>
      </c>
      <c r="J180" s="30" t="str">
        <f aca="false">IF(A180="","",(H180+G180)*Settings!$B$6+Settings!$B$7)</f>
        <v/>
      </c>
      <c r="K180" s="30" t="str">
        <f aca="false">IF(A180="","",Settings!$B$8*D180)</f>
        <v/>
      </c>
      <c r="L180" s="15"/>
      <c r="M180" s="30" t="str">
        <f aca="false">IF(A180="","",IF(L180="Y",H180*Settings!$B$9,0))</f>
        <v/>
      </c>
      <c r="N180" s="30" t="str">
        <f aca="false">IF(A180="","",H180-I180-J180-K180-M180)</f>
        <v/>
      </c>
      <c r="O180" s="25" t="str">
        <f aca="false">IF(A180="","",LEFT(A180,7))</f>
        <v/>
      </c>
    </row>
    <row r="181" customFormat="false" ht="15" hidden="false" customHeight="false" outlineLevel="0" collapsed="false">
      <c r="A181" s="15"/>
      <c r="B181" s="15"/>
      <c r="C181" s="15"/>
      <c r="D181" s="28"/>
      <c r="E181" s="29"/>
      <c r="F181" s="29"/>
      <c r="G181" s="29"/>
      <c r="H181" s="30" t="str">
        <f aca="false">IF(A181="","",D181*E181+F181)</f>
        <v/>
      </c>
      <c r="I181" s="30" t="str">
        <f aca="false">IF(A181="","",H181*Settings!$B$5)</f>
        <v/>
      </c>
      <c r="J181" s="30" t="str">
        <f aca="false">IF(A181="","",(H181+G181)*Settings!$B$6+Settings!$B$7)</f>
        <v/>
      </c>
      <c r="K181" s="30" t="str">
        <f aca="false">IF(A181="","",Settings!$B$8*D181)</f>
        <v/>
      </c>
      <c r="L181" s="15"/>
      <c r="M181" s="30" t="str">
        <f aca="false">IF(A181="","",IF(L181="Y",H181*Settings!$B$9,0))</f>
        <v/>
      </c>
      <c r="N181" s="30" t="str">
        <f aca="false">IF(A181="","",H181-I181-J181-K181-M181)</f>
        <v/>
      </c>
      <c r="O181" s="25" t="str">
        <f aca="false">IF(A181="","",LEFT(A181,7))</f>
        <v/>
      </c>
    </row>
    <row r="182" customFormat="false" ht="15" hidden="false" customHeight="false" outlineLevel="0" collapsed="false">
      <c r="A182" s="15"/>
      <c r="B182" s="15"/>
      <c r="C182" s="15"/>
      <c r="D182" s="28"/>
      <c r="E182" s="29"/>
      <c r="F182" s="29"/>
      <c r="G182" s="29"/>
      <c r="H182" s="30" t="str">
        <f aca="false">IF(A182="","",D182*E182+F182)</f>
        <v/>
      </c>
      <c r="I182" s="30" t="str">
        <f aca="false">IF(A182="","",H182*Settings!$B$5)</f>
        <v/>
      </c>
      <c r="J182" s="30" t="str">
        <f aca="false">IF(A182="","",(H182+G182)*Settings!$B$6+Settings!$B$7)</f>
        <v/>
      </c>
      <c r="K182" s="30" t="str">
        <f aca="false">IF(A182="","",Settings!$B$8*D182)</f>
        <v/>
      </c>
      <c r="L182" s="15"/>
      <c r="M182" s="30" t="str">
        <f aca="false">IF(A182="","",IF(L182="Y",H182*Settings!$B$9,0))</f>
        <v/>
      </c>
      <c r="N182" s="30" t="str">
        <f aca="false">IF(A182="","",H182-I182-J182-K182-M182)</f>
        <v/>
      </c>
      <c r="O182" s="25" t="str">
        <f aca="false">IF(A182="","",LEFT(A182,7))</f>
        <v/>
      </c>
    </row>
    <row r="183" customFormat="false" ht="15" hidden="false" customHeight="false" outlineLevel="0" collapsed="false">
      <c r="A183" s="15"/>
      <c r="B183" s="15"/>
      <c r="C183" s="15"/>
      <c r="D183" s="28"/>
      <c r="E183" s="29"/>
      <c r="F183" s="29"/>
      <c r="G183" s="29"/>
      <c r="H183" s="30" t="str">
        <f aca="false">IF(A183="","",D183*E183+F183)</f>
        <v/>
      </c>
      <c r="I183" s="30" t="str">
        <f aca="false">IF(A183="","",H183*Settings!$B$5)</f>
        <v/>
      </c>
      <c r="J183" s="30" t="str">
        <f aca="false">IF(A183="","",(H183+G183)*Settings!$B$6+Settings!$B$7)</f>
        <v/>
      </c>
      <c r="K183" s="30" t="str">
        <f aca="false">IF(A183="","",Settings!$B$8*D183)</f>
        <v/>
      </c>
      <c r="L183" s="15"/>
      <c r="M183" s="30" t="str">
        <f aca="false">IF(A183="","",IF(L183="Y",H183*Settings!$B$9,0))</f>
        <v/>
      </c>
      <c r="N183" s="30" t="str">
        <f aca="false">IF(A183="","",H183-I183-J183-K183-M183)</f>
        <v/>
      </c>
      <c r="O183" s="25" t="str">
        <f aca="false">IF(A183="","",LEFT(A183,7))</f>
        <v/>
      </c>
    </row>
    <row r="184" customFormat="false" ht="15" hidden="false" customHeight="false" outlineLevel="0" collapsed="false">
      <c r="A184" s="15"/>
      <c r="B184" s="15"/>
      <c r="C184" s="15"/>
      <c r="D184" s="28"/>
      <c r="E184" s="29"/>
      <c r="F184" s="29"/>
      <c r="G184" s="29"/>
      <c r="H184" s="30" t="str">
        <f aca="false">IF(A184="","",D184*E184+F184)</f>
        <v/>
      </c>
      <c r="I184" s="30" t="str">
        <f aca="false">IF(A184="","",H184*Settings!$B$5)</f>
        <v/>
      </c>
      <c r="J184" s="30" t="str">
        <f aca="false">IF(A184="","",(H184+G184)*Settings!$B$6+Settings!$B$7)</f>
        <v/>
      </c>
      <c r="K184" s="30" t="str">
        <f aca="false">IF(A184="","",Settings!$B$8*D184)</f>
        <v/>
      </c>
      <c r="L184" s="15"/>
      <c r="M184" s="30" t="str">
        <f aca="false">IF(A184="","",IF(L184="Y",H184*Settings!$B$9,0))</f>
        <v/>
      </c>
      <c r="N184" s="30" t="str">
        <f aca="false">IF(A184="","",H184-I184-J184-K184-M184)</f>
        <v/>
      </c>
      <c r="O184" s="25" t="str">
        <f aca="false">IF(A184="","",LEFT(A184,7))</f>
        <v/>
      </c>
    </row>
    <row r="185" customFormat="false" ht="15" hidden="false" customHeight="false" outlineLevel="0" collapsed="false">
      <c r="A185" s="15"/>
      <c r="B185" s="15"/>
      <c r="C185" s="15"/>
      <c r="D185" s="28"/>
      <c r="E185" s="29"/>
      <c r="F185" s="29"/>
      <c r="G185" s="29"/>
      <c r="H185" s="30" t="str">
        <f aca="false">IF(A185="","",D185*E185+F185)</f>
        <v/>
      </c>
      <c r="I185" s="30" t="str">
        <f aca="false">IF(A185="","",H185*Settings!$B$5)</f>
        <v/>
      </c>
      <c r="J185" s="30" t="str">
        <f aca="false">IF(A185="","",(H185+G185)*Settings!$B$6+Settings!$B$7)</f>
        <v/>
      </c>
      <c r="K185" s="30" t="str">
        <f aca="false">IF(A185="","",Settings!$B$8*D185)</f>
        <v/>
      </c>
      <c r="L185" s="15"/>
      <c r="M185" s="30" t="str">
        <f aca="false">IF(A185="","",IF(L185="Y",H185*Settings!$B$9,0))</f>
        <v/>
      </c>
      <c r="N185" s="30" t="str">
        <f aca="false">IF(A185="","",H185-I185-J185-K185-M185)</f>
        <v/>
      </c>
      <c r="O185" s="25" t="str">
        <f aca="false">IF(A185="","",LEFT(A185,7))</f>
        <v/>
      </c>
    </row>
    <row r="186" customFormat="false" ht="15" hidden="false" customHeight="false" outlineLevel="0" collapsed="false">
      <c r="A186" s="15"/>
      <c r="B186" s="15"/>
      <c r="C186" s="15"/>
      <c r="D186" s="28"/>
      <c r="E186" s="29"/>
      <c r="F186" s="29"/>
      <c r="G186" s="29"/>
      <c r="H186" s="30" t="str">
        <f aca="false">IF(A186="","",D186*E186+F186)</f>
        <v/>
      </c>
      <c r="I186" s="30" t="str">
        <f aca="false">IF(A186="","",H186*Settings!$B$5)</f>
        <v/>
      </c>
      <c r="J186" s="30" t="str">
        <f aca="false">IF(A186="","",(H186+G186)*Settings!$B$6+Settings!$B$7)</f>
        <v/>
      </c>
      <c r="K186" s="30" t="str">
        <f aca="false">IF(A186="","",Settings!$B$8*D186)</f>
        <v/>
      </c>
      <c r="L186" s="15"/>
      <c r="M186" s="30" t="str">
        <f aca="false">IF(A186="","",IF(L186="Y",H186*Settings!$B$9,0))</f>
        <v/>
      </c>
      <c r="N186" s="30" t="str">
        <f aca="false">IF(A186="","",H186-I186-J186-K186-M186)</f>
        <v/>
      </c>
      <c r="O186" s="25" t="str">
        <f aca="false">IF(A186="","",LEFT(A186,7))</f>
        <v/>
      </c>
    </row>
    <row r="187" customFormat="false" ht="15" hidden="false" customHeight="false" outlineLevel="0" collapsed="false">
      <c r="A187" s="15"/>
      <c r="B187" s="15"/>
      <c r="C187" s="15"/>
      <c r="D187" s="28"/>
      <c r="E187" s="29"/>
      <c r="F187" s="29"/>
      <c r="G187" s="29"/>
      <c r="H187" s="30" t="str">
        <f aca="false">IF(A187="","",D187*E187+F187)</f>
        <v/>
      </c>
      <c r="I187" s="30" t="str">
        <f aca="false">IF(A187="","",H187*Settings!$B$5)</f>
        <v/>
      </c>
      <c r="J187" s="30" t="str">
        <f aca="false">IF(A187="","",(H187+G187)*Settings!$B$6+Settings!$B$7)</f>
        <v/>
      </c>
      <c r="K187" s="30" t="str">
        <f aca="false">IF(A187="","",Settings!$B$8*D187)</f>
        <v/>
      </c>
      <c r="L187" s="15"/>
      <c r="M187" s="30" t="str">
        <f aca="false">IF(A187="","",IF(L187="Y",H187*Settings!$B$9,0))</f>
        <v/>
      </c>
      <c r="N187" s="30" t="str">
        <f aca="false">IF(A187="","",H187-I187-J187-K187-M187)</f>
        <v/>
      </c>
      <c r="O187" s="25" t="str">
        <f aca="false">IF(A187="","",LEFT(A187,7))</f>
        <v/>
      </c>
    </row>
    <row r="188" customFormat="false" ht="15" hidden="false" customHeight="false" outlineLevel="0" collapsed="false">
      <c r="A188" s="15"/>
      <c r="B188" s="15"/>
      <c r="C188" s="15"/>
      <c r="D188" s="28"/>
      <c r="E188" s="29"/>
      <c r="F188" s="29"/>
      <c r="G188" s="29"/>
      <c r="H188" s="30" t="str">
        <f aca="false">IF(A188="","",D188*E188+F188)</f>
        <v/>
      </c>
      <c r="I188" s="30" t="str">
        <f aca="false">IF(A188="","",H188*Settings!$B$5)</f>
        <v/>
      </c>
      <c r="J188" s="30" t="str">
        <f aca="false">IF(A188="","",(H188+G188)*Settings!$B$6+Settings!$B$7)</f>
        <v/>
      </c>
      <c r="K188" s="30" t="str">
        <f aca="false">IF(A188="","",Settings!$B$8*D188)</f>
        <v/>
      </c>
      <c r="L188" s="15"/>
      <c r="M188" s="30" t="str">
        <f aca="false">IF(A188="","",IF(L188="Y",H188*Settings!$B$9,0))</f>
        <v/>
      </c>
      <c r="N188" s="30" t="str">
        <f aca="false">IF(A188="","",H188-I188-J188-K188-M188)</f>
        <v/>
      </c>
      <c r="O188" s="25" t="str">
        <f aca="false">IF(A188="","",LEFT(A188,7))</f>
        <v/>
      </c>
    </row>
    <row r="189" customFormat="false" ht="15" hidden="false" customHeight="false" outlineLevel="0" collapsed="false">
      <c r="A189" s="15"/>
      <c r="B189" s="15"/>
      <c r="C189" s="15"/>
      <c r="D189" s="28"/>
      <c r="E189" s="29"/>
      <c r="F189" s="29"/>
      <c r="G189" s="29"/>
      <c r="H189" s="30" t="str">
        <f aca="false">IF(A189="","",D189*E189+F189)</f>
        <v/>
      </c>
      <c r="I189" s="30" t="str">
        <f aca="false">IF(A189="","",H189*Settings!$B$5)</f>
        <v/>
      </c>
      <c r="J189" s="30" t="str">
        <f aca="false">IF(A189="","",(H189+G189)*Settings!$B$6+Settings!$B$7)</f>
        <v/>
      </c>
      <c r="K189" s="30" t="str">
        <f aca="false">IF(A189="","",Settings!$B$8*D189)</f>
        <v/>
      </c>
      <c r="L189" s="15"/>
      <c r="M189" s="30" t="str">
        <f aca="false">IF(A189="","",IF(L189="Y",H189*Settings!$B$9,0))</f>
        <v/>
      </c>
      <c r="N189" s="30" t="str">
        <f aca="false">IF(A189="","",H189-I189-J189-K189-M189)</f>
        <v/>
      </c>
      <c r="O189" s="25" t="str">
        <f aca="false">IF(A189="","",LEFT(A189,7))</f>
        <v/>
      </c>
    </row>
    <row r="190" customFormat="false" ht="15" hidden="false" customHeight="false" outlineLevel="0" collapsed="false">
      <c r="A190" s="15"/>
      <c r="B190" s="15"/>
      <c r="C190" s="15"/>
      <c r="D190" s="28"/>
      <c r="E190" s="29"/>
      <c r="F190" s="29"/>
      <c r="G190" s="29"/>
      <c r="H190" s="30" t="str">
        <f aca="false">IF(A190="","",D190*E190+F190)</f>
        <v/>
      </c>
      <c r="I190" s="30" t="str">
        <f aca="false">IF(A190="","",H190*Settings!$B$5)</f>
        <v/>
      </c>
      <c r="J190" s="30" t="str">
        <f aca="false">IF(A190="","",(H190+G190)*Settings!$B$6+Settings!$B$7)</f>
        <v/>
      </c>
      <c r="K190" s="30" t="str">
        <f aca="false">IF(A190="","",Settings!$B$8*D190)</f>
        <v/>
      </c>
      <c r="L190" s="15"/>
      <c r="M190" s="30" t="str">
        <f aca="false">IF(A190="","",IF(L190="Y",H190*Settings!$B$9,0))</f>
        <v/>
      </c>
      <c r="N190" s="30" t="str">
        <f aca="false">IF(A190="","",H190-I190-J190-K190-M190)</f>
        <v/>
      </c>
      <c r="O190" s="25" t="str">
        <f aca="false">IF(A190="","",LEFT(A190,7))</f>
        <v/>
      </c>
    </row>
    <row r="191" customFormat="false" ht="15" hidden="false" customHeight="false" outlineLevel="0" collapsed="false">
      <c r="A191" s="15"/>
      <c r="B191" s="15"/>
      <c r="C191" s="15"/>
      <c r="D191" s="28"/>
      <c r="E191" s="29"/>
      <c r="F191" s="29"/>
      <c r="G191" s="29"/>
      <c r="H191" s="30" t="str">
        <f aca="false">IF(A191="","",D191*E191+F191)</f>
        <v/>
      </c>
      <c r="I191" s="30" t="str">
        <f aca="false">IF(A191="","",H191*Settings!$B$5)</f>
        <v/>
      </c>
      <c r="J191" s="30" t="str">
        <f aca="false">IF(A191="","",(H191+G191)*Settings!$B$6+Settings!$B$7)</f>
        <v/>
      </c>
      <c r="K191" s="30" t="str">
        <f aca="false">IF(A191="","",Settings!$B$8*D191)</f>
        <v/>
      </c>
      <c r="L191" s="15"/>
      <c r="M191" s="30" t="str">
        <f aca="false">IF(A191="","",IF(L191="Y",H191*Settings!$B$9,0))</f>
        <v/>
      </c>
      <c r="N191" s="30" t="str">
        <f aca="false">IF(A191="","",H191-I191-J191-K191-M191)</f>
        <v/>
      </c>
      <c r="O191" s="25" t="str">
        <f aca="false">IF(A191="","",LEFT(A191,7))</f>
        <v/>
      </c>
    </row>
    <row r="192" customFormat="false" ht="15" hidden="false" customHeight="false" outlineLevel="0" collapsed="false">
      <c r="A192" s="15"/>
      <c r="B192" s="15"/>
      <c r="C192" s="15"/>
      <c r="D192" s="28"/>
      <c r="E192" s="29"/>
      <c r="F192" s="29"/>
      <c r="G192" s="29"/>
      <c r="H192" s="30" t="str">
        <f aca="false">IF(A192="","",D192*E192+F192)</f>
        <v/>
      </c>
      <c r="I192" s="30" t="str">
        <f aca="false">IF(A192="","",H192*Settings!$B$5)</f>
        <v/>
      </c>
      <c r="J192" s="30" t="str">
        <f aca="false">IF(A192="","",(H192+G192)*Settings!$B$6+Settings!$B$7)</f>
        <v/>
      </c>
      <c r="K192" s="30" t="str">
        <f aca="false">IF(A192="","",Settings!$B$8*D192)</f>
        <v/>
      </c>
      <c r="L192" s="15"/>
      <c r="M192" s="30" t="str">
        <f aca="false">IF(A192="","",IF(L192="Y",H192*Settings!$B$9,0))</f>
        <v/>
      </c>
      <c r="N192" s="30" t="str">
        <f aca="false">IF(A192="","",H192-I192-J192-K192-M192)</f>
        <v/>
      </c>
      <c r="O192" s="25" t="str">
        <f aca="false">IF(A192="","",LEFT(A192,7))</f>
        <v/>
      </c>
    </row>
    <row r="193" customFormat="false" ht="15" hidden="false" customHeight="false" outlineLevel="0" collapsed="false">
      <c r="A193" s="15"/>
      <c r="B193" s="15"/>
      <c r="C193" s="15"/>
      <c r="D193" s="28"/>
      <c r="E193" s="29"/>
      <c r="F193" s="29"/>
      <c r="G193" s="29"/>
      <c r="H193" s="30" t="str">
        <f aca="false">IF(A193="","",D193*E193+F193)</f>
        <v/>
      </c>
      <c r="I193" s="30" t="str">
        <f aca="false">IF(A193="","",H193*Settings!$B$5)</f>
        <v/>
      </c>
      <c r="J193" s="30" t="str">
        <f aca="false">IF(A193="","",(H193+G193)*Settings!$B$6+Settings!$B$7)</f>
        <v/>
      </c>
      <c r="K193" s="30" t="str">
        <f aca="false">IF(A193="","",Settings!$B$8*D193)</f>
        <v/>
      </c>
      <c r="L193" s="15"/>
      <c r="M193" s="30" t="str">
        <f aca="false">IF(A193="","",IF(L193="Y",H193*Settings!$B$9,0))</f>
        <v/>
      </c>
      <c r="N193" s="30" t="str">
        <f aca="false">IF(A193="","",H193-I193-J193-K193-M193)</f>
        <v/>
      </c>
      <c r="O193" s="25" t="str">
        <f aca="false">IF(A193="","",LEFT(A193,7))</f>
        <v/>
      </c>
    </row>
    <row r="194" customFormat="false" ht="15" hidden="false" customHeight="false" outlineLevel="0" collapsed="false">
      <c r="A194" s="15"/>
      <c r="B194" s="15"/>
      <c r="C194" s="15"/>
      <c r="D194" s="28"/>
      <c r="E194" s="29"/>
      <c r="F194" s="29"/>
      <c r="G194" s="29"/>
      <c r="H194" s="30" t="str">
        <f aca="false">IF(A194="","",D194*E194+F194)</f>
        <v/>
      </c>
      <c r="I194" s="30" t="str">
        <f aca="false">IF(A194="","",H194*Settings!$B$5)</f>
        <v/>
      </c>
      <c r="J194" s="30" t="str">
        <f aca="false">IF(A194="","",(H194+G194)*Settings!$B$6+Settings!$B$7)</f>
        <v/>
      </c>
      <c r="K194" s="30" t="str">
        <f aca="false">IF(A194="","",Settings!$B$8*D194)</f>
        <v/>
      </c>
      <c r="L194" s="15"/>
      <c r="M194" s="30" t="str">
        <f aca="false">IF(A194="","",IF(L194="Y",H194*Settings!$B$9,0))</f>
        <v/>
      </c>
      <c r="N194" s="30" t="str">
        <f aca="false">IF(A194="","",H194-I194-J194-K194-M194)</f>
        <v/>
      </c>
      <c r="O194" s="25" t="str">
        <f aca="false">IF(A194="","",LEFT(A194,7))</f>
        <v/>
      </c>
    </row>
    <row r="195" customFormat="false" ht="15" hidden="false" customHeight="false" outlineLevel="0" collapsed="false">
      <c r="A195" s="15"/>
      <c r="B195" s="15"/>
      <c r="C195" s="15"/>
      <c r="D195" s="28"/>
      <c r="E195" s="29"/>
      <c r="F195" s="29"/>
      <c r="G195" s="29"/>
      <c r="H195" s="30" t="str">
        <f aca="false">IF(A195="","",D195*E195+F195)</f>
        <v/>
      </c>
      <c r="I195" s="30" t="str">
        <f aca="false">IF(A195="","",H195*Settings!$B$5)</f>
        <v/>
      </c>
      <c r="J195" s="30" t="str">
        <f aca="false">IF(A195="","",(H195+G195)*Settings!$B$6+Settings!$B$7)</f>
        <v/>
      </c>
      <c r="K195" s="30" t="str">
        <f aca="false">IF(A195="","",Settings!$B$8*D195)</f>
        <v/>
      </c>
      <c r="L195" s="15"/>
      <c r="M195" s="30" t="str">
        <f aca="false">IF(A195="","",IF(L195="Y",H195*Settings!$B$9,0))</f>
        <v/>
      </c>
      <c r="N195" s="30" t="str">
        <f aca="false">IF(A195="","",H195-I195-J195-K195-M195)</f>
        <v/>
      </c>
      <c r="O195" s="25" t="str">
        <f aca="false">IF(A195="","",LEFT(A195,7))</f>
        <v/>
      </c>
    </row>
    <row r="196" customFormat="false" ht="15" hidden="false" customHeight="false" outlineLevel="0" collapsed="false">
      <c r="A196" s="15"/>
      <c r="B196" s="15"/>
      <c r="C196" s="15"/>
      <c r="D196" s="28"/>
      <c r="E196" s="29"/>
      <c r="F196" s="29"/>
      <c r="G196" s="29"/>
      <c r="H196" s="30" t="str">
        <f aca="false">IF(A196="","",D196*E196+F196)</f>
        <v/>
      </c>
      <c r="I196" s="30" t="str">
        <f aca="false">IF(A196="","",H196*Settings!$B$5)</f>
        <v/>
      </c>
      <c r="J196" s="30" t="str">
        <f aca="false">IF(A196="","",(H196+G196)*Settings!$B$6+Settings!$B$7)</f>
        <v/>
      </c>
      <c r="K196" s="30" t="str">
        <f aca="false">IF(A196="","",Settings!$B$8*D196)</f>
        <v/>
      </c>
      <c r="L196" s="15"/>
      <c r="M196" s="30" t="str">
        <f aca="false">IF(A196="","",IF(L196="Y",H196*Settings!$B$9,0))</f>
        <v/>
      </c>
      <c r="N196" s="30" t="str">
        <f aca="false">IF(A196="","",H196-I196-J196-K196-M196)</f>
        <v/>
      </c>
      <c r="O196" s="25" t="str">
        <f aca="false">IF(A196="","",LEFT(A196,7))</f>
        <v/>
      </c>
    </row>
    <row r="197" customFormat="false" ht="15" hidden="false" customHeight="false" outlineLevel="0" collapsed="false">
      <c r="A197" s="15"/>
      <c r="B197" s="15"/>
      <c r="C197" s="15"/>
      <c r="D197" s="28"/>
      <c r="E197" s="29"/>
      <c r="F197" s="29"/>
      <c r="G197" s="29"/>
      <c r="H197" s="30" t="str">
        <f aca="false">IF(A197="","",D197*E197+F197)</f>
        <v/>
      </c>
      <c r="I197" s="30" t="str">
        <f aca="false">IF(A197="","",H197*Settings!$B$5)</f>
        <v/>
      </c>
      <c r="J197" s="30" t="str">
        <f aca="false">IF(A197="","",(H197+G197)*Settings!$B$6+Settings!$B$7)</f>
        <v/>
      </c>
      <c r="K197" s="30" t="str">
        <f aca="false">IF(A197="","",Settings!$B$8*D197)</f>
        <v/>
      </c>
      <c r="L197" s="15"/>
      <c r="M197" s="30" t="str">
        <f aca="false">IF(A197="","",IF(L197="Y",H197*Settings!$B$9,0))</f>
        <v/>
      </c>
      <c r="N197" s="30" t="str">
        <f aca="false">IF(A197="","",H197-I197-J197-K197-M197)</f>
        <v/>
      </c>
      <c r="O197" s="25" t="str">
        <f aca="false">IF(A197="","",LEFT(A197,7))</f>
        <v/>
      </c>
    </row>
    <row r="198" customFormat="false" ht="15" hidden="false" customHeight="false" outlineLevel="0" collapsed="false">
      <c r="A198" s="15"/>
      <c r="B198" s="15"/>
      <c r="C198" s="15"/>
      <c r="D198" s="28"/>
      <c r="E198" s="29"/>
      <c r="F198" s="29"/>
      <c r="G198" s="29"/>
      <c r="H198" s="30" t="str">
        <f aca="false">IF(A198="","",D198*E198+F198)</f>
        <v/>
      </c>
      <c r="I198" s="30" t="str">
        <f aca="false">IF(A198="","",H198*Settings!$B$5)</f>
        <v/>
      </c>
      <c r="J198" s="30" t="str">
        <f aca="false">IF(A198="","",(H198+G198)*Settings!$B$6+Settings!$B$7)</f>
        <v/>
      </c>
      <c r="K198" s="30" t="str">
        <f aca="false">IF(A198="","",Settings!$B$8*D198)</f>
        <v/>
      </c>
      <c r="L198" s="15"/>
      <c r="M198" s="30" t="str">
        <f aca="false">IF(A198="","",IF(L198="Y",H198*Settings!$B$9,0))</f>
        <v/>
      </c>
      <c r="N198" s="30" t="str">
        <f aca="false">IF(A198="","",H198-I198-J198-K198-M198)</f>
        <v/>
      </c>
      <c r="O198" s="25" t="str">
        <f aca="false">IF(A198="","",LEFT(A198,7))</f>
        <v/>
      </c>
    </row>
    <row r="199" customFormat="false" ht="15" hidden="false" customHeight="false" outlineLevel="0" collapsed="false">
      <c r="A199" s="15"/>
      <c r="B199" s="15"/>
      <c r="C199" s="15"/>
      <c r="D199" s="28"/>
      <c r="E199" s="29"/>
      <c r="F199" s="29"/>
      <c r="G199" s="29"/>
      <c r="H199" s="30" t="str">
        <f aca="false">IF(A199="","",D199*E199+F199)</f>
        <v/>
      </c>
      <c r="I199" s="30" t="str">
        <f aca="false">IF(A199="","",H199*Settings!$B$5)</f>
        <v/>
      </c>
      <c r="J199" s="30" t="str">
        <f aca="false">IF(A199="","",(H199+G199)*Settings!$B$6+Settings!$B$7)</f>
        <v/>
      </c>
      <c r="K199" s="30" t="str">
        <f aca="false">IF(A199="","",Settings!$B$8*D199)</f>
        <v/>
      </c>
      <c r="L199" s="15"/>
      <c r="M199" s="30" t="str">
        <f aca="false">IF(A199="","",IF(L199="Y",H199*Settings!$B$9,0))</f>
        <v/>
      </c>
      <c r="N199" s="30" t="str">
        <f aca="false">IF(A199="","",H199-I199-J199-K199-M199)</f>
        <v/>
      </c>
      <c r="O199" s="25" t="str">
        <f aca="false">IF(A199="","",LEFT(A199,7))</f>
        <v/>
      </c>
    </row>
    <row r="200" customFormat="false" ht="15" hidden="false" customHeight="false" outlineLevel="0" collapsed="false">
      <c r="A200" s="15"/>
      <c r="B200" s="15"/>
      <c r="C200" s="15"/>
      <c r="D200" s="28"/>
      <c r="E200" s="29"/>
      <c r="F200" s="29"/>
      <c r="G200" s="29"/>
      <c r="H200" s="30" t="str">
        <f aca="false">IF(A200="","",D200*E200+F200)</f>
        <v/>
      </c>
      <c r="I200" s="30" t="str">
        <f aca="false">IF(A200="","",H200*Settings!$B$5)</f>
        <v/>
      </c>
      <c r="J200" s="30" t="str">
        <f aca="false">IF(A200="","",(H200+G200)*Settings!$B$6+Settings!$B$7)</f>
        <v/>
      </c>
      <c r="K200" s="30" t="str">
        <f aca="false">IF(A200="","",Settings!$B$8*D200)</f>
        <v/>
      </c>
      <c r="L200" s="15"/>
      <c r="M200" s="30" t="str">
        <f aca="false">IF(A200="","",IF(L200="Y",H200*Settings!$B$9,0))</f>
        <v/>
      </c>
      <c r="N200" s="30" t="str">
        <f aca="false">IF(A200="","",H200-I200-J200-K200-M200)</f>
        <v/>
      </c>
      <c r="O200" s="25" t="str">
        <f aca="false">IF(A200="","",LEFT(A200,7))</f>
        <v/>
      </c>
    </row>
    <row r="201" customFormat="false" ht="15" hidden="false" customHeight="false" outlineLevel="0" collapsed="false">
      <c r="A201" s="15"/>
      <c r="B201" s="15"/>
      <c r="C201" s="15"/>
      <c r="D201" s="28"/>
      <c r="E201" s="29"/>
      <c r="F201" s="29"/>
      <c r="G201" s="29"/>
      <c r="H201" s="30" t="str">
        <f aca="false">IF(A201="","",D201*E201+F201)</f>
        <v/>
      </c>
      <c r="I201" s="30" t="str">
        <f aca="false">IF(A201="","",H201*Settings!$B$5)</f>
        <v/>
      </c>
      <c r="J201" s="30" t="str">
        <f aca="false">IF(A201="","",(H201+G201)*Settings!$B$6+Settings!$B$7)</f>
        <v/>
      </c>
      <c r="K201" s="30" t="str">
        <f aca="false">IF(A201="","",Settings!$B$8*D201)</f>
        <v/>
      </c>
      <c r="L201" s="15"/>
      <c r="M201" s="30" t="str">
        <f aca="false">IF(A201="","",IF(L201="Y",H201*Settings!$B$9,0))</f>
        <v/>
      </c>
      <c r="N201" s="30" t="str">
        <f aca="false">IF(A201="","",H201-I201-J201-K201-M201)</f>
        <v/>
      </c>
      <c r="O201" s="25" t="str">
        <f aca="false">IF(A201="","",LEFT(A201,7))</f>
        <v/>
      </c>
    </row>
    <row r="202" customFormat="false" ht="15" hidden="false" customHeight="false" outlineLevel="0" collapsed="false">
      <c r="A202" s="15"/>
      <c r="B202" s="15"/>
      <c r="C202" s="15"/>
      <c r="D202" s="28"/>
      <c r="E202" s="29"/>
      <c r="F202" s="29"/>
      <c r="G202" s="29"/>
      <c r="H202" s="30" t="str">
        <f aca="false">IF(A202="","",D202*E202+F202)</f>
        <v/>
      </c>
      <c r="I202" s="30" t="str">
        <f aca="false">IF(A202="","",H202*Settings!$B$5)</f>
        <v/>
      </c>
      <c r="J202" s="30" t="str">
        <f aca="false">IF(A202="","",(H202+G202)*Settings!$B$6+Settings!$B$7)</f>
        <v/>
      </c>
      <c r="K202" s="30" t="str">
        <f aca="false">IF(A202="","",Settings!$B$8*D202)</f>
        <v/>
      </c>
      <c r="L202" s="15"/>
      <c r="M202" s="30" t="str">
        <f aca="false">IF(A202="","",IF(L202="Y",H202*Settings!$B$9,0))</f>
        <v/>
      </c>
      <c r="N202" s="30" t="str">
        <f aca="false">IF(A202="","",H202-I202-J202-K202-M202)</f>
        <v/>
      </c>
      <c r="O202" s="25" t="str">
        <f aca="false">IF(A202="","",LEFT(A202,7))</f>
        <v/>
      </c>
    </row>
    <row r="203" customFormat="false" ht="15" hidden="false" customHeight="false" outlineLevel="0" collapsed="false">
      <c r="A203" s="15"/>
      <c r="B203" s="15"/>
      <c r="C203" s="15"/>
      <c r="D203" s="28"/>
      <c r="E203" s="29"/>
      <c r="F203" s="29"/>
      <c r="G203" s="29"/>
      <c r="H203" s="30" t="str">
        <f aca="false">IF(A203="","",D203*E203+F203)</f>
        <v/>
      </c>
      <c r="I203" s="30" t="str">
        <f aca="false">IF(A203="","",H203*Settings!$B$5)</f>
        <v/>
      </c>
      <c r="J203" s="30" t="str">
        <f aca="false">IF(A203="","",(H203+G203)*Settings!$B$6+Settings!$B$7)</f>
        <v/>
      </c>
      <c r="K203" s="30" t="str">
        <f aca="false">IF(A203="","",Settings!$B$8*D203)</f>
        <v/>
      </c>
      <c r="L203" s="15"/>
      <c r="M203" s="30" t="str">
        <f aca="false">IF(A203="","",IF(L203="Y",H203*Settings!$B$9,0))</f>
        <v/>
      </c>
      <c r="N203" s="30" t="str">
        <f aca="false">IF(A203="","",H203-I203-J203-K203-M203)</f>
        <v/>
      </c>
      <c r="O203" s="25" t="str">
        <f aca="false">IF(A203="","",LEFT(A203,7))</f>
        <v/>
      </c>
    </row>
    <row r="204" customFormat="false" ht="15" hidden="false" customHeight="false" outlineLevel="0" collapsed="false">
      <c r="A204" s="15"/>
      <c r="B204" s="15"/>
      <c r="C204" s="15"/>
      <c r="D204" s="28"/>
      <c r="E204" s="29"/>
      <c r="F204" s="29"/>
      <c r="G204" s="29"/>
      <c r="H204" s="30" t="str">
        <f aca="false">IF(A204="","",D204*E204+F204)</f>
        <v/>
      </c>
      <c r="I204" s="30" t="str">
        <f aca="false">IF(A204="","",H204*Settings!$B$5)</f>
        <v/>
      </c>
      <c r="J204" s="30" t="str">
        <f aca="false">IF(A204="","",(H204+G204)*Settings!$B$6+Settings!$B$7)</f>
        <v/>
      </c>
      <c r="K204" s="30" t="str">
        <f aca="false">IF(A204="","",Settings!$B$8*D204)</f>
        <v/>
      </c>
      <c r="L204" s="15"/>
      <c r="M204" s="30" t="str">
        <f aca="false">IF(A204="","",IF(L204="Y",H204*Settings!$B$9,0))</f>
        <v/>
      </c>
      <c r="N204" s="30" t="str">
        <f aca="false">IF(A204="","",H204-I204-J204-K204-M204)</f>
        <v/>
      </c>
      <c r="O204" s="25" t="str">
        <f aca="false">IF(A204="","",LEFT(A204,7))</f>
        <v/>
      </c>
    </row>
    <row r="205" customFormat="false" ht="15" hidden="false" customHeight="false" outlineLevel="0" collapsed="false">
      <c r="A205" s="15"/>
      <c r="B205" s="15"/>
      <c r="C205" s="15"/>
      <c r="D205" s="28"/>
      <c r="E205" s="29"/>
      <c r="F205" s="29"/>
      <c r="G205" s="29"/>
      <c r="H205" s="30" t="str">
        <f aca="false">IF(A205="","",D205*E205+F205)</f>
        <v/>
      </c>
      <c r="I205" s="30" t="str">
        <f aca="false">IF(A205="","",H205*Settings!$B$5)</f>
        <v/>
      </c>
      <c r="J205" s="30" t="str">
        <f aca="false">IF(A205="","",(H205+G205)*Settings!$B$6+Settings!$B$7)</f>
        <v/>
      </c>
      <c r="K205" s="30" t="str">
        <f aca="false">IF(A205="","",Settings!$B$8*D205)</f>
        <v/>
      </c>
      <c r="L205" s="15"/>
      <c r="M205" s="30" t="str">
        <f aca="false">IF(A205="","",IF(L205="Y",H205*Settings!$B$9,0))</f>
        <v/>
      </c>
      <c r="N205" s="30" t="str">
        <f aca="false">IF(A205="","",H205-I205-J205-K205-M205)</f>
        <v/>
      </c>
      <c r="O205" s="25" t="str">
        <f aca="false">IF(A205="","",LEFT(A205,7))</f>
        <v/>
      </c>
    </row>
    <row r="206" customFormat="false" ht="15" hidden="false" customHeight="false" outlineLevel="0" collapsed="false">
      <c r="A206" s="15"/>
      <c r="B206" s="15"/>
      <c r="C206" s="15"/>
      <c r="D206" s="28"/>
      <c r="E206" s="29"/>
      <c r="F206" s="29"/>
      <c r="G206" s="29"/>
      <c r="H206" s="30" t="str">
        <f aca="false">IF(A206="","",D206*E206+F206)</f>
        <v/>
      </c>
      <c r="I206" s="30" t="str">
        <f aca="false">IF(A206="","",H206*Settings!$B$5)</f>
        <v/>
      </c>
      <c r="J206" s="30" t="str">
        <f aca="false">IF(A206="","",(H206+G206)*Settings!$B$6+Settings!$B$7)</f>
        <v/>
      </c>
      <c r="K206" s="30" t="str">
        <f aca="false">IF(A206="","",Settings!$B$8*D206)</f>
        <v/>
      </c>
      <c r="L206" s="15"/>
      <c r="M206" s="30" t="str">
        <f aca="false">IF(A206="","",IF(L206="Y",H206*Settings!$B$9,0))</f>
        <v/>
      </c>
      <c r="N206" s="30" t="str">
        <f aca="false">IF(A206="","",H206-I206-J206-K206-M206)</f>
        <v/>
      </c>
      <c r="O206" s="25" t="str">
        <f aca="false">IF(A206="","",LEFT(A206,7))</f>
        <v/>
      </c>
    </row>
    <row r="207" customFormat="false" ht="15" hidden="false" customHeight="false" outlineLevel="0" collapsed="false">
      <c r="A207" s="15"/>
      <c r="B207" s="15"/>
      <c r="C207" s="15"/>
      <c r="D207" s="28"/>
      <c r="E207" s="29"/>
      <c r="F207" s="29"/>
      <c r="G207" s="29"/>
      <c r="H207" s="30" t="str">
        <f aca="false">IF(A207="","",D207*E207+F207)</f>
        <v/>
      </c>
      <c r="I207" s="30" t="str">
        <f aca="false">IF(A207="","",H207*Settings!$B$5)</f>
        <v/>
      </c>
      <c r="J207" s="30" t="str">
        <f aca="false">IF(A207="","",(H207+G207)*Settings!$B$6+Settings!$B$7)</f>
        <v/>
      </c>
      <c r="K207" s="30" t="str">
        <f aca="false">IF(A207="","",Settings!$B$8*D207)</f>
        <v/>
      </c>
      <c r="L207" s="15"/>
      <c r="M207" s="30" t="str">
        <f aca="false">IF(A207="","",IF(L207="Y",H207*Settings!$B$9,0))</f>
        <v/>
      </c>
      <c r="N207" s="30" t="str">
        <f aca="false">IF(A207="","",H207-I207-J207-K207-M207)</f>
        <v/>
      </c>
      <c r="O207" s="25" t="str">
        <f aca="false">IF(A207="","",LEFT(A207,7))</f>
        <v/>
      </c>
    </row>
    <row r="208" customFormat="false" ht="15" hidden="false" customHeight="false" outlineLevel="0" collapsed="false">
      <c r="A208" s="15"/>
      <c r="B208" s="15"/>
      <c r="C208" s="15"/>
      <c r="D208" s="28"/>
      <c r="E208" s="29"/>
      <c r="F208" s="29"/>
      <c r="G208" s="29"/>
      <c r="H208" s="30" t="str">
        <f aca="false">IF(A208="","",D208*E208+F208)</f>
        <v/>
      </c>
      <c r="I208" s="30" t="str">
        <f aca="false">IF(A208="","",H208*Settings!$B$5)</f>
        <v/>
      </c>
      <c r="J208" s="30" t="str">
        <f aca="false">IF(A208="","",(H208+G208)*Settings!$B$6+Settings!$B$7)</f>
        <v/>
      </c>
      <c r="K208" s="30" t="str">
        <f aca="false">IF(A208="","",Settings!$B$8*D208)</f>
        <v/>
      </c>
      <c r="L208" s="15"/>
      <c r="M208" s="30" t="str">
        <f aca="false">IF(A208="","",IF(L208="Y",H208*Settings!$B$9,0))</f>
        <v/>
      </c>
      <c r="N208" s="30" t="str">
        <f aca="false">IF(A208="","",H208-I208-J208-K208-M208)</f>
        <v/>
      </c>
      <c r="O208" s="25" t="str">
        <f aca="false">IF(A208="","",LEFT(A208,7))</f>
        <v/>
      </c>
    </row>
    <row r="209" customFormat="false" ht="15" hidden="false" customHeight="false" outlineLevel="0" collapsed="false">
      <c r="A209" s="15"/>
      <c r="B209" s="15"/>
      <c r="C209" s="15"/>
      <c r="D209" s="28"/>
      <c r="E209" s="29"/>
      <c r="F209" s="29"/>
      <c r="G209" s="29"/>
      <c r="H209" s="30" t="str">
        <f aca="false">IF(A209="","",D209*E209+F209)</f>
        <v/>
      </c>
      <c r="I209" s="30" t="str">
        <f aca="false">IF(A209="","",H209*Settings!$B$5)</f>
        <v/>
      </c>
      <c r="J209" s="30" t="str">
        <f aca="false">IF(A209="","",(H209+G209)*Settings!$B$6+Settings!$B$7)</f>
        <v/>
      </c>
      <c r="K209" s="30" t="str">
        <f aca="false">IF(A209="","",Settings!$B$8*D209)</f>
        <v/>
      </c>
      <c r="L209" s="15"/>
      <c r="M209" s="30" t="str">
        <f aca="false">IF(A209="","",IF(L209="Y",H209*Settings!$B$9,0))</f>
        <v/>
      </c>
      <c r="N209" s="30" t="str">
        <f aca="false">IF(A209="","",H209-I209-J209-K209-M209)</f>
        <v/>
      </c>
      <c r="O209" s="25" t="str">
        <f aca="false">IF(A209="","",LEFT(A209,7))</f>
        <v/>
      </c>
    </row>
    <row r="210" customFormat="false" ht="15" hidden="false" customHeight="false" outlineLevel="0" collapsed="false">
      <c r="A210" s="15"/>
      <c r="B210" s="15"/>
      <c r="C210" s="15"/>
      <c r="D210" s="28"/>
      <c r="E210" s="29"/>
      <c r="F210" s="29"/>
      <c r="G210" s="29"/>
      <c r="H210" s="30" t="str">
        <f aca="false">IF(A210="","",D210*E210+F210)</f>
        <v/>
      </c>
      <c r="I210" s="30" t="str">
        <f aca="false">IF(A210="","",H210*Settings!$B$5)</f>
        <v/>
      </c>
      <c r="J210" s="30" t="str">
        <f aca="false">IF(A210="","",(H210+G210)*Settings!$B$6+Settings!$B$7)</f>
        <v/>
      </c>
      <c r="K210" s="30" t="str">
        <f aca="false">IF(A210="","",Settings!$B$8*D210)</f>
        <v/>
      </c>
      <c r="L210" s="15"/>
      <c r="M210" s="30" t="str">
        <f aca="false">IF(A210="","",IF(L210="Y",H210*Settings!$B$9,0))</f>
        <v/>
      </c>
      <c r="N210" s="30" t="str">
        <f aca="false">IF(A210="","",H210-I210-J210-K210-M210)</f>
        <v/>
      </c>
      <c r="O210" s="25" t="str">
        <f aca="false">IF(A210="","",LEFT(A210,7))</f>
        <v/>
      </c>
    </row>
    <row r="211" customFormat="false" ht="15" hidden="false" customHeight="false" outlineLevel="0" collapsed="false">
      <c r="A211" s="15"/>
      <c r="B211" s="15"/>
      <c r="C211" s="15"/>
      <c r="D211" s="28"/>
      <c r="E211" s="29"/>
      <c r="F211" s="29"/>
      <c r="G211" s="29"/>
      <c r="H211" s="30" t="str">
        <f aca="false">IF(A211="","",D211*E211+F211)</f>
        <v/>
      </c>
      <c r="I211" s="30" t="str">
        <f aca="false">IF(A211="","",H211*Settings!$B$5)</f>
        <v/>
      </c>
      <c r="J211" s="30" t="str">
        <f aca="false">IF(A211="","",(H211+G211)*Settings!$B$6+Settings!$B$7)</f>
        <v/>
      </c>
      <c r="K211" s="30" t="str">
        <f aca="false">IF(A211="","",Settings!$B$8*D211)</f>
        <v/>
      </c>
      <c r="L211" s="15"/>
      <c r="M211" s="30" t="str">
        <f aca="false">IF(A211="","",IF(L211="Y",H211*Settings!$B$9,0))</f>
        <v/>
      </c>
      <c r="N211" s="30" t="str">
        <f aca="false">IF(A211="","",H211-I211-J211-K211-M211)</f>
        <v/>
      </c>
      <c r="O211" s="25" t="str">
        <f aca="false">IF(A211="","",LEFT(A211,7))</f>
        <v/>
      </c>
    </row>
    <row r="212" customFormat="false" ht="15" hidden="false" customHeight="false" outlineLevel="0" collapsed="false">
      <c r="A212" s="15"/>
      <c r="B212" s="15"/>
      <c r="C212" s="15"/>
      <c r="D212" s="28"/>
      <c r="E212" s="29"/>
      <c r="F212" s="29"/>
      <c r="G212" s="29"/>
      <c r="H212" s="30" t="str">
        <f aca="false">IF(A212="","",D212*E212+F212)</f>
        <v/>
      </c>
      <c r="I212" s="30" t="str">
        <f aca="false">IF(A212="","",H212*Settings!$B$5)</f>
        <v/>
      </c>
      <c r="J212" s="30" t="str">
        <f aca="false">IF(A212="","",(H212+G212)*Settings!$B$6+Settings!$B$7)</f>
        <v/>
      </c>
      <c r="K212" s="30" t="str">
        <f aca="false">IF(A212="","",Settings!$B$8*D212)</f>
        <v/>
      </c>
      <c r="L212" s="15"/>
      <c r="M212" s="30" t="str">
        <f aca="false">IF(A212="","",IF(L212="Y",H212*Settings!$B$9,0))</f>
        <v/>
      </c>
      <c r="N212" s="30" t="str">
        <f aca="false">IF(A212="","",H212-I212-J212-K212-M212)</f>
        <v/>
      </c>
      <c r="O212" s="25" t="str">
        <f aca="false">IF(A212="","",LEFT(A212,7))</f>
        <v/>
      </c>
    </row>
    <row r="213" customFormat="false" ht="15" hidden="false" customHeight="false" outlineLevel="0" collapsed="false">
      <c r="A213" s="15"/>
      <c r="B213" s="15"/>
      <c r="C213" s="15"/>
      <c r="D213" s="28"/>
      <c r="E213" s="29"/>
      <c r="F213" s="29"/>
      <c r="G213" s="29"/>
      <c r="H213" s="30" t="str">
        <f aca="false">IF(A213="","",D213*E213+F213)</f>
        <v/>
      </c>
      <c r="I213" s="30" t="str">
        <f aca="false">IF(A213="","",H213*Settings!$B$5)</f>
        <v/>
      </c>
      <c r="J213" s="30" t="str">
        <f aca="false">IF(A213="","",(H213+G213)*Settings!$B$6+Settings!$B$7)</f>
        <v/>
      </c>
      <c r="K213" s="30" t="str">
        <f aca="false">IF(A213="","",Settings!$B$8*D213)</f>
        <v/>
      </c>
      <c r="L213" s="15"/>
      <c r="M213" s="30" t="str">
        <f aca="false">IF(A213="","",IF(L213="Y",H213*Settings!$B$9,0))</f>
        <v/>
      </c>
      <c r="N213" s="30" t="str">
        <f aca="false">IF(A213="","",H213-I213-J213-K213-M213)</f>
        <v/>
      </c>
      <c r="O213" s="25" t="str">
        <f aca="false">IF(A213="","",LEFT(A213,7))</f>
        <v/>
      </c>
    </row>
    <row r="214" customFormat="false" ht="15" hidden="false" customHeight="false" outlineLevel="0" collapsed="false">
      <c r="A214" s="15"/>
      <c r="B214" s="15"/>
      <c r="C214" s="15"/>
      <c r="D214" s="28"/>
      <c r="E214" s="29"/>
      <c r="F214" s="29"/>
      <c r="G214" s="29"/>
      <c r="H214" s="30" t="str">
        <f aca="false">IF(A214="","",D214*E214+F214)</f>
        <v/>
      </c>
      <c r="I214" s="30" t="str">
        <f aca="false">IF(A214="","",H214*Settings!$B$5)</f>
        <v/>
      </c>
      <c r="J214" s="30" t="str">
        <f aca="false">IF(A214="","",(H214+G214)*Settings!$B$6+Settings!$B$7)</f>
        <v/>
      </c>
      <c r="K214" s="30" t="str">
        <f aca="false">IF(A214="","",Settings!$B$8*D214)</f>
        <v/>
      </c>
      <c r="L214" s="15"/>
      <c r="M214" s="30" t="str">
        <f aca="false">IF(A214="","",IF(L214="Y",H214*Settings!$B$9,0))</f>
        <v/>
      </c>
      <c r="N214" s="30" t="str">
        <f aca="false">IF(A214="","",H214-I214-J214-K214-M214)</f>
        <v/>
      </c>
      <c r="O214" s="25" t="str">
        <f aca="false">IF(A214="","",LEFT(A214,7))</f>
        <v/>
      </c>
    </row>
    <row r="215" customFormat="false" ht="15" hidden="false" customHeight="false" outlineLevel="0" collapsed="false">
      <c r="A215" s="15"/>
      <c r="B215" s="15"/>
      <c r="C215" s="15"/>
      <c r="D215" s="28"/>
      <c r="E215" s="29"/>
      <c r="F215" s="29"/>
      <c r="G215" s="29"/>
      <c r="H215" s="30" t="str">
        <f aca="false">IF(A215="","",D215*E215+F215)</f>
        <v/>
      </c>
      <c r="I215" s="30" t="str">
        <f aca="false">IF(A215="","",H215*Settings!$B$5)</f>
        <v/>
      </c>
      <c r="J215" s="30" t="str">
        <f aca="false">IF(A215="","",(H215+G215)*Settings!$B$6+Settings!$B$7)</f>
        <v/>
      </c>
      <c r="K215" s="30" t="str">
        <f aca="false">IF(A215="","",Settings!$B$8*D215)</f>
        <v/>
      </c>
      <c r="L215" s="15"/>
      <c r="M215" s="30" t="str">
        <f aca="false">IF(A215="","",IF(L215="Y",H215*Settings!$B$9,0))</f>
        <v/>
      </c>
      <c r="N215" s="30" t="str">
        <f aca="false">IF(A215="","",H215-I215-J215-K215-M215)</f>
        <v/>
      </c>
      <c r="O215" s="25" t="str">
        <f aca="false">IF(A215="","",LEFT(A215,7))</f>
        <v/>
      </c>
    </row>
    <row r="216" customFormat="false" ht="15" hidden="false" customHeight="false" outlineLevel="0" collapsed="false">
      <c r="A216" s="15"/>
      <c r="B216" s="15"/>
      <c r="C216" s="15"/>
      <c r="D216" s="28"/>
      <c r="E216" s="29"/>
      <c r="F216" s="29"/>
      <c r="G216" s="29"/>
      <c r="H216" s="30" t="str">
        <f aca="false">IF(A216="","",D216*E216+F216)</f>
        <v/>
      </c>
      <c r="I216" s="30" t="str">
        <f aca="false">IF(A216="","",H216*Settings!$B$5)</f>
        <v/>
      </c>
      <c r="J216" s="30" t="str">
        <f aca="false">IF(A216="","",(H216+G216)*Settings!$B$6+Settings!$B$7)</f>
        <v/>
      </c>
      <c r="K216" s="30" t="str">
        <f aca="false">IF(A216="","",Settings!$B$8*D216)</f>
        <v/>
      </c>
      <c r="L216" s="15"/>
      <c r="M216" s="30" t="str">
        <f aca="false">IF(A216="","",IF(L216="Y",H216*Settings!$B$9,0))</f>
        <v/>
      </c>
      <c r="N216" s="30" t="str">
        <f aca="false">IF(A216="","",H216-I216-J216-K216-M216)</f>
        <v/>
      </c>
      <c r="O216" s="25" t="str">
        <f aca="false">IF(A216="","",LEFT(A216,7))</f>
        <v/>
      </c>
    </row>
    <row r="217" customFormat="false" ht="15" hidden="false" customHeight="false" outlineLevel="0" collapsed="false">
      <c r="A217" s="15"/>
      <c r="B217" s="15"/>
      <c r="C217" s="15"/>
      <c r="D217" s="28"/>
      <c r="E217" s="29"/>
      <c r="F217" s="29"/>
      <c r="G217" s="29"/>
      <c r="H217" s="30" t="str">
        <f aca="false">IF(A217="","",D217*E217+F217)</f>
        <v/>
      </c>
      <c r="I217" s="30" t="str">
        <f aca="false">IF(A217="","",H217*Settings!$B$5)</f>
        <v/>
      </c>
      <c r="J217" s="30" t="str">
        <f aca="false">IF(A217="","",(H217+G217)*Settings!$B$6+Settings!$B$7)</f>
        <v/>
      </c>
      <c r="K217" s="30" t="str">
        <f aca="false">IF(A217="","",Settings!$B$8*D217)</f>
        <v/>
      </c>
      <c r="L217" s="15"/>
      <c r="M217" s="30" t="str">
        <f aca="false">IF(A217="","",IF(L217="Y",H217*Settings!$B$9,0))</f>
        <v/>
      </c>
      <c r="N217" s="30" t="str">
        <f aca="false">IF(A217="","",H217-I217-J217-K217-M217)</f>
        <v/>
      </c>
      <c r="O217" s="25" t="str">
        <f aca="false">IF(A217="","",LEFT(A217,7))</f>
        <v/>
      </c>
    </row>
    <row r="218" customFormat="false" ht="15" hidden="false" customHeight="false" outlineLevel="0" collapsed="false">
      <c r="A218" s="15"/>
      <c r="B218" s="15"/>
      <c r="C218" s="15"/>
      <c r="D218" s="28"/>
      <c r="E218" s="29"/>
      <c r="F218" s="29"/>
      <c r="G218" s="29"/>
      <c r="H218" s="30" t="str">
        <f aca="false">IF(A218="","",D218*E218+F218)</f>
        <v/>
      </c>
      <c r="I218" s="30" t="str">
        <f aca="false">IF(A218="","",H218*Settings!$B$5)</f>
        <v/>
      </c>
      <c r="J218" s="30" t="str">
        <f aca="false">IF(A218="","",(H218+G218)*Settings!$B$6+Settings!$B$7)</f>
        <v/>
      </c>
      <c r="K218" s="30" t="str">
        <f aca="false">IF(A218="","",Settings!$B$8*D218)</f>
        <v/>
      </c>
      <c r="L218" s="15"/>
      <c r="M218" s="30" t="str">
        <f aca="false">IF(A218="","",IF(L218="Y",H218*Settings!$B$9,0))</f>
        <v/>
      </c>
      <c r="N218" s="30" t="str">
        <f aca="false">IF(A218="","",H218-I218-J218-K218-M218)</f>
        <v/>
      </c>
      <c r="O218" s="25" t="str">
        <f aca="false">IF(A218="","",LEFT(A218,7))</f>
        <v/>
      </c>
    </row>
    <row r="219" customFormat="false" ht="15" hidden="false" customHeight="false" outlineLevel="0" collapsed="false">
      <c r="A219" s="15"/>
      <c r="B219" s="15"/>
      <c r="C219" s="15"/>
      <c r="D219" s="28"/>
      <c r="E219" s="29"/>
      <c r="F219" s="29"/>
      <c r="G219" s="29"/>
      <c r="H219" s="30" t="str">
        <f aca="false">IF(A219="","",D219*E219+F219)</f>
        <v/>
      </c>
      <c r="I219" s="30" t="str">
        <f aca="false">IF(A219="","",H219*Settings!$B$5)</f>
        <v/>
      </c>
      <c r="J219" s="30" t="str">
        <f aca="false">IF(A219="","",(H219+G219)*Settings!$B$6+Settings!$B$7)</f>
        <v/>
      </c>
      <c r="K219" s="30" t="str">
        <f aca="false">IF(A219="","",Settings!$B$8*D219)</f>
        <v/>
      </c>
      <c r="L219" s="15"/>
      <c r="M219" s="30" t="str">
        <f aca="false">IF(A219="","",IF(L219="Y",H219*Settings!$B$9,0))</f>
        <v/>
      </c>
      <c r="N219" s="30" t="str">
        <f aca="false">IF(A219="","",H219-I219-J219-K219-M219)</f>
        <v/>
      </c>
      <c r="O219" s="25" t="str">
        <f aca="false">IF(A219="","",LEFT(A219,7))</f>
        <v/>
      </c>
    </row>
    <row r="220" customFormat="false" ht="15" hidden="false" customHeight="false" outlineLevel="0" collapsed="false">
      <c r="A220" s="15"/>
      <c r="B220" s="15"/>
      <c r="C220" s="15"/>
      <c r="D220" s="28"/>
      <c r="E220" s="29"/>
      <c r="F220" s="29"/>
      <c r="G220" s="29"/>
      <c r="H220" s="30" t="str">
        <f aca="false">IF(A220="","",D220*E220+F220)</f>
        <v/>
      </c>
      <c r="I220" s="30" t="str">
        <f aca="false">IF(A220="","",H220*Settings!$B$5)</f>
        <v/>
      </c>
      <c r="J220" s="30" t="str">
        <f aca="false">IF(A220="","",(H220+G220)*Settings!$B$6+Settings!$B$7)</f>
        <v/>
      </c>
      <c r="K220" s="30" t="str">
        <f aca="false">IF(A220="","",Settings!$B$8*D220)</f>
        <v/>
      </c>
      <c r="L220" s="15"/>
      <c r="M220" s="30" t="str">
        <f aca="false">IF(A220="","",IF(L220="Y",H220*Settings!$B$9,0))</f>
        <v/>
      </c>
      <c r="N220" s="30" t="str">
        <f aca="false">IF(A220="","",H220-I220-J220-K220-M220)</f>
        <v/>
      </c>
      <c r="O220" s="25" t="str">
        <f aca="false">IF(A220="","",LEFT(A220,7))</f>
        <v/>
      </c>
    </row>
    <row r="221" customFormat="false" ht="15" hidden="false" customHeight="false" outlineLevel="0" collapsed="false">
      <c r="A221" s="15"/>
      <c r="B221" s="15"/>
      <c r="C221" s="15"/>
      <c r="D221" s="28"/>
      <c r="E221" s="29"/>
      <c r="F221" s="29"/>
      <c r="G221" s="29"/>
      <c r="H221" s="30" t="str">
        <f aca="false">IF(A221="","",D221*E221+F221)</f>
        <v/>
      </c>
      <c r="I221" s="30" t="str">
        <f aca="false">IF(A221="","",H221*Settings!$B$5)</f>
        <v/>
      </c>
      <c r="J221" s="30" t="str">
        <f aca="false">IF(A221="","",(H221+G221)*Settings!$B$6+Settings!$B$7)</f>
        <v/>
      </c>
      <c r="K221" s="30" t="str">
        <f aca="false">IF(A221="","",Settings!$B$8*D221)</f>
        <v/>
      </c>
      <c r="L221" s="15"/>
      <c r="M221" s="30" t="str">
        <f aca="false">IF(A221="","",IF(L221="Y",H221*Settings!$B$9,0))</f>
        <v/>
      </c>
      <c r="N221" s="30" t="str">
        <f aca="false">IF(A221="","",H221-I221-J221-K221-M221)</f>
        <v/>
      </c>
      <c r="O221" s="25" t="str">
        <f aca="false">IF(A221="","",LEFT(A221,7))</f>
        <v/>
      </c>
    </row>
    <row r="222" customFormat="false" ht="15" hidden="false" customHeight="false" outlineLevel="0" collapsed="false">
      <c r="A222" s="15"/>
      <c r="B222" s="15"/>
      <c r="C222" s="15"/>
      <c r="D222" s="28"/>
      <c r="E222" s="29"/>
      <c r="F222" s="29"/>
      <c r="G222" s="29"/>
      <c r="H222" s="30" t="str">
        <f aca="false">IF(A222="","",D222*E222+F222)</f>
        <v/>
      </c>
      <c r="I222" s="30" t="str">
        <f aca="false">IF(A222="","",H222*Settings!$B$5)</f>
        <v/>
      </c>
      <c r="J222" s="30" t="str">
        <f aca="false">IF(A222="","",(H222+G222)*Settings!$B$6+Settings!$B$7)</f>
        <v/>
      </c>
      <c r="K222" s="30" t="str">
        <f aca="false">IF(A222="","",Settings!$B$8*D222)</f>
        <v/>
      </c>
      <c r="L222" s="15"/>
      <c r="M222" s="30" t="str">
        <f aca="false">IF(A222="","",IF(L222="Y",H222*Settings!$B$9,0))</f>
        <v/>
      </c>
      <c r="N222" s="30" t="str">
        <f aca="false">IF(A222="","",H222-I222-J222-K222-M222)</f>
        <v/>
      </c>
      <c r="O222" s="25" t="str">
        <f aca="false">IF(A222="","",LEFT(A222,7))</f>
        <v/>
      </c>
    </row>
    <row r="223" customFormat="false" ht="15" hidden="false" customHeight="false" outlineLevel="0" collapsed="false">
      <c r="A223" s="15"/>
      <c r="B223" s="15"/>
      <c r="C223" s="15"/>
      <c r="D223" s="28"/>
      <c r="E223" s="29"/>
      <c r="F223" s="29"/>
      <c r="G223" s="29"/>
      <c r="H223" s="30" t="str">
        <f aca="false">IF(A223="","",D223*E223+F223)</f>
        <v/>
      </c>
      <c r="I223" s="30" t="str">
        <f aca="false">IF(A223="","",H223*Settings!$B$5)</f>
        <v/>
      </c>
      <c r="J223" s="30" t="str">
        <f aca="false">IF(A223="","",(H223+G223)*Settings!$B$6+Settings!$B$7)</f>
        <v/>
      </c>
      <c r="K223" s="30" t="str">
        <f aca="false">IF(A223="","",Settings!$B$8*D223)</f>
        <v/>
      </c>
      <c r="L223" s="15"/>
      <c r="M223" s="30" t="str">
        <f aca="false">IF(A223="","",IF(L223="Y",H223*Settings!$B$9,0))</f>
        <v/>
      </c>
      <c r="N223" s="30" t="str">
        <f aca="false">IF(A223="","",H223-I223-J223-K223-M223)</f>
        <v/>
      </c>
      <c r="O223" s="25" t="str">
        <f aca="false">IF(A223="","",LEFT(A223,7))</f>
        <v/>
      </c>
    </row>
    <row r="224" customFormat="false" ht="15" hidden="false" customHeight="false" outlineLevel="0" collapsed="false">
      <c r="A224" s="15"/>
      <c r="B224" s="15"/>
      <c r="C224" s="15"/>
      <c r="D224" s="28"/>
      <c r="E224" s="29"/>
      <c r="F224" s="29"/>
      <c r="G224" s="29"/>
      <c r="H224" s="30" t="str">
        <f aca="false">IF(A224="","",D224*E224+F224)</f>
        <v/>
      </c>
      <c r="I224" s="30" t="str">
        <f aca="false">IF(A224="","",H224*Settings!$B$5)</f>
        <v/>
      </c>
      <c r="J224" s="30" t="str">
        <f aca="false">IF(A224="","",(H224+G224)*Settings!$B$6+Settings!$B$7)</f>
        <v/>
      </c>
      <c r="K224" s="30" t="str">
        <f aca="false">IF(A224="","",Settings!$B$8*D224)</f>
        <v/>
      </c>
      <c r="L224" s="15"/>
      <c r="M224" s="30" t="str">
        <f aca="false">IF(A224="","",IF(L224="Y",H224*Settings!$B$9,0))</f>
        <v/>
      </c>
      <c r="N224" s="30" t="str">
        <f aca="false">IF(A224="","",H224-I224-J224-K224-M224)</f>
        <v/>
      </c>
      <c r="O224" s="25" t="str">
        <f aca="false">IF(A224="","",LEFT(A224,7))</f>
        <v/>
      </c>
    </row>
    <row r="225" customFormat="false" ht="15" hidden="false" customHeight="false" outlineLevel="0" collapsed="false">
      <c r="A225" s="15"/>
      <c r="B225" s="15"/>
      <c r="C225" s="15"/>
      <c r="D225" s="28"/>
      <c r="E225" s="29"/>
      <c r="F225" s="29"/>
      <c r="G225" s="29"/>
      <c r="H225" s="30" t="str">
        <f aca="false">IF(A225="","",D225*E225+F225)</f>
        <v/>
      </c>
      <c r="I225" s="30" t="str">
        <f aca="false">IF(A225="","",H225*Settings!$B$5)</f>
        <v/>
      </c>
      <c r="J225" s="30" t="str">
        <f aca="false">IF(A225="","",(H225+G225)*Settings!$B$6+Settings!$B$7)</f>
        <v/>
      </c>
      <c r="K225" s="30" t="str">
        <f aca="false">IF(A225="","",Settings!$B$8*D225)</f>
        <v/>
      </c>
      <c r="L225" s="15"/>
      <c r="M225" s="30" t="str">
        <f aca="false">IF(A225="","",IF(L225="Y",H225*Settings!$B$9,0))</f>
        <v/>
      </c>
      <c r="N225" s="30" t="str">
        <f aca="false">IF(A225="","",H225-I225-J225-K225-M225)</f>
        <v/>
      </c>
      <c r="O225" s="25" t="str">
        <f aca="false">IF(A225="","",LEFT(A225,7))</f>
        <v/>
      </c>
    </row>
    <row r="226" customFormat="false" ht="15" hidden="false" customHeight="false" outlineLevel="0" collapsed="false">
      <c r="A226" s="15"/>
      <c r="B226" s="15"/>
      <c r="C226" s="15"/>
      <c r="D226" s="28"/>
      <c r="E226" s="29"/>
      <c r="F226" s="29"/>
      <c r="G226" s="29"/>
      <c r="H226" s="30" t="str">
        <f aca="false">IF(A226="","",D226*E226+F226)</f>
        <v/>
      </c>
      <c r="I226" s="30" t="str">
        <f aca="false">IF(A226="","",H226*Settings!$B$5)</f>
        <v/>
      </c>
      <c r="J226" s="30" t="str">
        <f aca="false">IF(A226="","",(H226+G226)*Settings!$B$6+Settings!$B$7)</f>
        <v/>
      </c>
      <c r="K226" s="30" t="str">
        <f aca="false">IF(A226="","",Settings!$B$8*D226)</f>
        <v/>
      </c>
      <c r="L226" s="15"/>
      <c r="M226" s="30" t="str">
        <f aca="false">IF(A226="","",IF(L226="Y",H226*Settings!$B$9,0))</f>
        <v/>
      </c>
      <c r="N226" s="30" t="str">
        <f aca="false">IF(A226="","",H226-I226-J226-K226-M226)</f>
        <v/>
      </c>
      <c r="O226" s="25" t="str">
        <f aca="false">IF(A226="","",LEFT(A226,7))</f>
        <v/>
      </c>
    </row>
    <row r="227" customFormat="false" ht="15" hidden="false" customHeight="false" outlineLevel="0" collapsed="false">
      <c r="A227" s="15"/>
      <c r="B227" s="15"/>
      <c r="C227" s="15"/>
      <c r="D227" s="28"/>
      <c r="E227" s="29"/>
      <c r="F227" s="29"/>
      <c r="G227" s="29"/>
      <c r="H227" s="30" t="str">
        <f aca="false">IF(A227="","",D227*E227+F227)</f>
        <v/>
      </c>
      <c r="I227" s="30" t="str">
        <f aca="false">IF(A227="","",H227*Settings!$B$5)</f>
        <v/>
      </c>
      <c r="J227" s="30" t="str">
        <f aca="false">IF(A227="","",(H227+G227)*Settings!$B$6+Settings!$B$7)</f>
        <v/>
      </c>
      <c r="K227" s="30" t="str">
        <f aca="false">IF(A227="","",Settings!$B$8*D227)</f>
        <v/>
      </c>
      <c r="L227" s="15"/>
      <c r="M227" s="30" t="str">
        <f aca="false">IF(A227="","",IF(L227="Y",H227*Settings!$B$9,0))</f>
        <v/>
      </c>
      <c r="N227" s="30" t="str">
        <f aca="false">IF(A227="","",H227-I227-J227-K227-M227)</f>
        <v/>
      </c>
      <c r="O227" s="25" t="str">
        <f aca="false">IF(A227="","",LEFT(A227,7))</f>
        <v/>
      </c>
    </row>
    <row r="228" customFormat="false" ht="15" hidden="false" customHeight="false" outlineLevel="0" collapsed="false">
      <c r="A228" s="15"/>
      <c r="B228" s="15"/>
      <c r="C228" s="15"/>
      <c r="D228" s="28"/>
      <c r="E228" s="29"/>
      <c r="F228" s="29"/>
      <c r="G228" s="29"/>
      <c r="H228" s="30" t="str">
        <f aca="false">IF(A228="","",D228*E228+F228)</f>
        <v/>
      </c>
      <c r="I228" s="30" t="str">
        <f aca="false">IF(A228="","",H228*Settings!$B$5)</f>
        <v/>
      </c>
      <c r="J228" s="30" t="str">
        <f aca="false">IF(A228="","",(H228+G228)*Settings!$B$6+Settings!$B$7)</f>
        <v/>
      </c>
      <c r="K228" s="30" t="str">
        <f aca="false">IF(A228="","",Settings!$B$8*D228)</f>
        <v/>
      </c>
      <c r="L228" s="15"/>
      <c r="M228" s="30" t="str">
        <f aca="false">IF(A228="","",IF(L228="Y",H228*Settings!$B$9,0))</f>
        <v/>
      </c>
      <c r="N228" s="30" t="str">
        <f aca="false">IF(A228="","",H228-I228-J228-K228-M228)</f>
        <v/>
      </c>
      <c r="O228" s="25" t="str">
        <f aca="false">IF(A228="","",LEFT(A228,7))</f>
        <v/>
      </c>
    </row>
    <row r="229" customFormat="false" ht="15" hidden="false" customHeight="false" outlineLevel="0" collapsed="false">
      <c r="A229" s="15"/>
      <c r="B229" s="15"/>
      <c r="C229" s="15"/>
      <c r="D229" s="28"/>
      <c r="E229" s="29"/>
      <c r="F229" s="29"/>
      <c r="G229" s="29"/>
      <c r="H229" s="30" t="str">
        <f aca="false">IF(A229="","",D229*E229+F229)</f>
        <v/>
      </c>
      <c r="I229" s="30" t="str">
        <f aca="false">IF(A229="","",H229*Settings!$B$5)</f>
        <v/>
      </c>
      <c r="J229" s="30" t="str">
        <f aca="false">IF(A229="","",(H229+G229)*Settings!$B$6+Settings!$B$7)</f>
        <v/>
      </c>
      <c r="K229" s="30" t="str">
        <f aca="false">IF(A229="","",Settings!$B$8*D229)</f>
        <v/>
      </c>
      <c r="L229" s="15"/>
      <c r="M229" s="30" t="str">
        <f aca="false">IF(A229="","",IF(L229="Y",H229*Settings!$B$9,0))</f>
        <v/>
      </c>
      <c r="N229" s="30" t="str">
        <f aca="false">IF(A229="","",H229-I229-J229-K229-M229)</f>
        <v/>
      </c>
      <c r="O229" s="25" t="str">
        <f aca="false">IF(A229="","",LEFT(A229,7))</f>
        <v/>
      </c>
    </row>
    <row r="230" customFormat="false" ht="15" hidden="false" customHeight="false" outlineLevel="0" collapsed="false">
      <c r="A230" s="15"/>
      <c r="B230" s="15"/>
      <c r="C230" s="15"/>
      <c r="D230" s="28"/>
      <c r="E230" s="29"/>
      <c r="F230" s="29"/>
      <c r="G230" s="29"/>
      <c r="H230" s="30" t="str">
        <f aca="false">IF(A230="","",D230*E230+F230)</f>
        <v/>
      </c>
      <c r="I230" s="30" t="str">
        <f aca="false">IF(A230="","",H230*Settings!$B$5)</f>
        <v/>
      </c>
      <c r="J230" s="30" t="str">
        <f aca="false">IF(A230="","",(H230+G230)*Settings!$B$6+Settings!$B$7)</f>
        <v/>
      </c>
      <c r="K230" s="30" t="str">
        <f aca="false">IF(A230="","",Settings!$B$8*D230)</f>
        <v/>
      </c>
      <c r="L230" s="15"/>
      <c r="M230" s="30" t="str">
        <f aca="false">IF(A230="","",IF(L230="Y",H230*Settings!$B$9,0))</f>
        <v/>
      </c>
      <c r="N230" s="30" t="str">
        <f aca="false">IF(A230="","",H230-I230-J230-K230-M230)</f>
        <v/>
      </c>
      <c r="O230" s="25" t="str">
        <f aca="false">IF(A230="","",LEFT(A230,7))</f>
        <v/>
      </c>
    </row>
    <row r="231" customFormat="false" ht="15" hidden="false" customHeight="false" outlineLevel="0" collapsed="false">
      <c r="A231" s="15"/>
      <c r="B231" s="15"/>
      <c r="C231" s="15"/>
      <c r="D231" s="28"/>
      <c r="E231" s="29"/>
      <c r="F231" s="29"/>
      <c r="G231" s="29"/>
      <c r="H231" s="30" t="str">
        <f aca="false">IF(A231="","",D231*E231+F231)</f>
        <v/>
      </c>
      <c r="I231" s="30" t="str">
        <f aca="false">IF(A231="","",H231*Settings!$B$5)</f>
        <v/>
      </c>
      <c r="J231" s="30" t="str">
        <f aca="false">IF(A231="","",(H231+G231)*Settings!$B$6+Settings!$B$7)</f>
        <v/>
      </c>
      <c r="K231" s="30" t="str">
        <f aca="false">IF(A231="","",Settings!$B$8*D231)</f>
        <v/>
      </c>
      <c r="L231" s="15"/>
      <c r="M231" s="30" t="str">
        <f aca="false">IF(A231="","",IF(L231="Y",H231*Settings!$B$9,0))</f>
        <v/>
      </c>
      <c r="N231" s="30" t="str">
        <f aca="false">IF(A231="","",H231-I231-J231-K231-M231)</f>
        <v/>
      </c>
      <c r="O231" s="25" t="str">
        <f aca="false">IF(A231="","",LEFT(A231,7))</f>
        <v/>
      </c>
    </row>
    <row r="232" customFormat="false" ht="15" hidden="false" customHeight="false" outlineLevel="0" collapsed="false">
      <c r="A232" s="15"/>
      <c r="B232" s="15"/>
      <c r="C232" s="15"/>
      <c r="D232" s="28"/>
      <c r="E232" s="29"/>
      <c r="F232" s="29"/>
      <c r="G232" s="29"/>
      <c r="H232" s="30" t="str">
        <f aca="false">IF(A232="","",D232*E232+F232)</f>
        <v/>
      </c>
      <c r="I232" s="30" t="str">
        <f aca="false">IF(A232="","",H232*Settings!$B$5)</f>
        <v/>
      </c>
      <c r="J232" s="30" t="str">
        <f aca="false">IF(A232="","",(H232+G232)*Settings!$B$6+Settings!$B$7)</f>
        <v/>
      </c>
      <c r="K232" s="30" t="str">
        <f aca="false">IF(A232="","",Settings!$B$8*D232)</f>
        <v/>
      </c>
      <c r="L232" s="15"/>
      <c r="M232" s="30" t="str">
        <f aca="false">IF(A232="","",IF(L232="Y",H232*Settings!$B$9,0))</f>
        <v/>
      </c>
      <c r="N232" s="30" t="str">
        <f aca="false">IF(A232="","",H232-I232-J232-K232-M232)</f>
        <v/>
      </c>
      <c r="O232" s="25" t="str">
        <f aca="false">IF(A232="","",LEFT(A232,7))</f>
        <v/>
      </c>
    </row>
    <row r="233" customFormat="false" ht="15" hidden="false" customHeight="false" outlineLevel="0" collapsed="false">
      <c r="A233" s="15"/>
      <c r="B233" s="15"/>
      <c r="C233" s="15"/>
      <c r="D233" s="28"/>
      <c r="E233" s="29"/>
      <c r="F233" s="29"/>
      <c r="G233" s="29"/>
      <c r="H233" s="30" t="str">
        <f aca="false">IF(A233="","",D233*E233+F233)</f>
        <v/>
      </c>
      <c r="I233" s="30" t="str">
        <f aca="false">IF(A233="","",H233*Settings!$B$5)</f>
        <v/>
      </c>
      <c r="J233" s="30" t="str">
        <f aca="false">IF(A233="","",(H233+G233)*Settings!$B$6+Settings!$B$7)</f>
        <v/>
      </c>
      <c r="K233" s="30" t="str">
        <f aca="false">IF(A233="","",Settings!$B$8*D233)</f>
        <v/>
      </c>
      <c r="L233" s="15"/>
      <c r="M233" s="30" t="str">
        <f aca="false">IF(A233="","",IF(L233="Y",H233*Settings!$B$9,0))</f>
        <v/>
      </c>
      <c r="N233" s="30" t="str">
        <f aca="false">IF(A233="","",H233-I233-J233-K233-M233)</f>
        <v/>
      </c>
      <c r="O233" s="25" t="str">
        <f aca="false">IF(A233="","",LEFT(A233,7))</f>
        <v/>
      </c>
    </row>
    <row r="234" customFormat="false" ht="15" hidden="false" customHeight="false" outlineLevel="0" collapsed="false">
      <c r="A234" s="15"/>
      <c r="B234" s="15"/>
      <c r="C234" s="15"/>
      <c r="D234" s="28"/>
      <c r="E234" s="29"/>
      <c r="F234" s="29"/>
      <c r="G234" s="29"/>
      <c r="H234" s="30" t="str">
        <f aca="false">IF(A234="","",D234*E234+F234)</f>
        <v/>
      </c>
      <c r="I234" s="30" t="str">
        <f aca="false">IF(A234="","",H234*Settings!$B$5)</f>
        <v/>
      </c>
      <c r="J234" s="30" t="str">
        <f aca="false">IF(A234="","",(H234+G234)*Settings!$B$6+Settings!$B$7)</f>
        <v/>
      </c>
      <c r="K234" s="30" t="str">
        <f aca="false">IF(A234="","",Settings!$B$8*D234)</f>
        <v/>
      </c>
      <c r="L234" s="15"/>
      <c r="M234" s="30" t="str">
        <f aca="false">IF(A234="","",IF(L234="Y",H234*Settings!$B$9,0))</f>
        <v/>
      </c>
      <c r="N234" s="30" t="str">
        <f aca="false">IF(A234="","",H234-I234-J234-K234-M234)</f>
        <v/>
      </c>
      <c r="O234" s="25" t="str">
        <f aca="false">IF(A234="","",LEFT(A234,7))</f>
        <v/>
      </c>
    </row>
    <row r="235" customFormat="false" ht="15" hidden="false" customHeight="false" outlineLevel="0" collapsed="false">
      <c r="A235" s="15"/>
      <c r="B235" s="15"/>
      <c r="C235" s="15"/>
      <c r="D235" s="28"/>
      <c r="E235" s="29"/>
      <c r="F235" s="29"/>
      <c r="G235" s="29"/>
      <c r="H235" s="30" t="str">
        <f aca="false">IF(A235="","",D235*E235+F235)</f>
        <v/>
      </c>
      <c r="I235" s="30" t="str">
        <f aca="false">IF(A235="","",H235*Settings!$B$5)</f>
        <v/>
      </c>
      <c r="J235" s="30" t="str">
        <f aca="false">IF(A235="","",(H235+G235)*Settings!$B$6+Settings!$B$7)</f>
        <v/>
      </c>
      <c r="K235" s="30" t="str">
        <f aca="false">IF(A235="","",Settings!$B$8*D235)</f>
        <v/>
      </c>
      <c r="L235" s="15"/>
      <c r="M235" s="30" t="str">
        <f aca="false">IF(A235="","",IF(L235="Y",H235*Settings!$B$9,0))</f>
        <v/>
      </c>
      <c r="N235" s="30" t="str">
        <f aca="false">IF(A235="","",H235-I235-J235-K235-M235)</f>
        <v/>
      </c>
      <c r="O235" s="25" t="str">
        <f aca="false">IF(A235="","",LEFT(A235,7))</f>
        <v/>
      </c>
    </row>
    <row r="236" customFormat="false" ht="15" hidden="false" customHeight="false" outlineLevel="0" collapsed="false">
      <c r="A236" s="15"/>
      <c r="B236" s="15"/>
      <c r="C236" s="15"/>
      <c r="D236" s="28"/>
      <c r="E236" s="29"/>
      <c r="F236" s="29"/>
      <c r="G236" s="29"/>
      <c r="H236" s="30" t="str">
        <f aca="false">IF(A236="","",D236*E236+F236)</f>
        <v/>
      </c>
      <c r="I236" s="30" t="str">
        <f aca="false">IF(A236="","",H236*Settings!$B$5)</f>
        <v/>
      </c>
      <c r="J236" s="30" t="str">
        <f aca="false">IF(A236="","",(H236+G236)*Settings!$B$6+Settings!$B$7)</f>
        <v/>
      </c>
      <c r="K236" s="30" t="str">
        <f aca="false">IF(A236="","",Settings!$B$8*D236)</f>
        <v/>
      </c>
      <c r="L236" s="15"/>
      <c r="M236" s="30" t="str">
        <f aca="false">IF(A236="","",IF(L236="Y",H236*Settings!$B$9,0))</f>
        <v/>
      </c>
      <c r="N236" s="30" t="str">
        <f aca="false">IF(A236="","",H236-I236-J236-K236-M236)</f>
        <v/>
      </c>
      <c r="O236" s="25" t="str">
        <f aca="false">IF(A236="","",LEFT(A236,7))</f>
        <v/>
      </c>
    </row>
    <row r="237" customFormat="false" ht="15" hidden="false" customHeight="false" outlineLevel="0" collapsed="false">
      <c r="A237" s="15"/>
      <c r="B237" s="15"/>
      <c r="C237" s="15"/>
      <c r="D237" s="28"/>
      <c r="E237" s="29"/>
      <c r="F237" s="29"/>
      <c r="G237" s="29"/>
      <c r="H237" s="30" t="str">
        <f aca="false">IF(A237="","",D237*E237+F237)</f>
        <v/>
      </c>
      <c r="I237" s="30" t="str">
        <f aca="false">IF(A237="","",H237*Settings!$B$5)</f>
        <v/>
      </c>
      <c r="J237" s="30" t="str">
        <f aca="false">IF(A237="","",(H237+G237)*Settings!$B$6+Settings!$B$7)</f>
        <v/>
      </c>
      <c r="K237" s="30" t="str">
        <f aca="false">IF(A237="","",Settings!$B$8*D237)</f>
        <v/>
      </c>
      <c r="L237" s="15"/>
      <c r="M237" s="30" t="str">
        <f aca="false">IF(A237="","",IF(L237="Y",H237*Settings!$B$9,0))</f>
        <v/>
      </c>
      <c r="N237" s="30" t="str">
        <f aca="false">IF(A237="","",H237-I237-J237-K237-M237)</f>
        <v/>
      </c>
      <c r="O237" s="25" t="str">
        <f aca="false">IF(A237="","",LEFT(A237,7))</f>
        <v/>
      </c>
    </row>
    <row r="238" customFormat="false" ht="15" hidden="false" customHeight="false" outlineLevel="0" collapsed="false">
      <c r="A238" s="15"/>
      <c r="B238" s="15"/>
      <c r="C238" s="15"/>
      <c r="D238" s="28"/>
      <c r="E238" s="29"/>
      <c r="F238" s="29"/>
      <c r="G238" s="29"/>
      <c r="H238" s="30" t="str">
        <f aca="false">IF(A238="","",D238*E238+F238)</f>
        <v/>
      </c>
      <c r="I238" s="30" t="str">
        <f aca="false">IF(A238="","",H238*Settings!$B$5)</f>
        <v/>
      </c>
      <c r="J238" s="30" t="str">
        <f aca="false">IF(A238="","",(H238+G238)*Settings!$B$6+Settings!$B$7)</f>
        <v/>
      </c>
      <c r="K238" s="30" t="str">
        <f aca="false">IF(A238="","",Settings!$B$8*D238)</f>
        <v/>
      </c>
      <c r="L238" s="15"/>
      <c r="M238" s="30" t="str">
        <f aca="false">IF(A238="","",IF(L238="Y",H238*Settings!$B$9,0))</f>
        <v/>
      </c>
      <c r="N238" s="30" t="str">
        <f aca="false">IF(A238="","",H238-I238-J238-K238-M238)</f>
        <v/>
      </c>
      <c r="O238" s="25" t="str">
        <f aca="false">IF(A238="","",LEFT(A238,7))</f>
        <v/>
      </c>
    </row>
    <row r="239" customFormat="false" ht="15" hidden="false" customHeight="false" outlineLevel="0" collapsed="false">
      <c r="A239" s="15"/>
      <c r="B239" s="15"/>
      <c r="C239" s="15"/>
      <c r="D239" s="28"/>
      <c r="E239" s="29"/>
      <c r="F239" s="29"/>
      <c r="G239" s="29"/>
      <c r="H239" s="30" t="str">
        <f aca="false">IF(A239="","",D239*E239+F239)</f>
        <v/>
      </c>
      <c r="I239" s="30" t="str">
        <f aca="false">IF(A239="","",H239*Settings!$B$5)</f>
        <v/>
      </c>
      <c r="J239" s="30" t="str">
        <f aca="false">IF(A239="","",(H239+G239)*Settings!$B$6+Settings!$B$7)</f>
        <v/>
      </c>
      <c r="K239" s="30" t="str">
        <f aca="false">IF(A239="","",Settings!$B$8*D239)</f>
        <v/>
      </c>
      <c r="L239" s="15"/>
      <c r="M239" s="30" t="str">
        <f aca="false">IF(A239="","",IF(L239="Y",H239*Settings!$B$9,0))</f>
        <v/>
      </c>
      <c r="N239" s="30" t="str">
        <f aca="false">IF(A239="","",H239-I239-J239-K239-M239)</f>
        <v/>
      </c>
      <c r="O239" s="25" t="str">
        <f aca="false">IF(A239="","",LEFT(A239,7))</f>
        <v/>
      </c>
    </row>
    <row r="240" customFormat="false" ht="15" hidden="false" customHeight="false" outlineLevel="0" collapsed="false">
      <c r="A240" s="15"/>
      <c r="B240" s="15"/>
      <c r="C240" s="15"/>
      <c r="D240" s="28"/>
      <c r="E240" s="29"/>
      <c r="F240" s="29"/>
      <c r="G240" s="29"/>
      <c r="H240" s="30" t="str">
        <f aca="false">IF(A240="","",D240*E240+F240)</f>
        <v/>
      </c>
      <c r="I240" s="30" t="str">
        <f aca="false">IF(A240="","",H240*Settings!$B$5)</f>
        <v/>
      </c>
      <c r="J240" s="30" t="str">
        <f aca="false">IF(A240="","",(H240+G240)*Settings!$B$6+Settings!$B$7)</f>
        <v/>
      </c>
      <c r="K240" s="30" t="str">
        <f aca="false">IF(A240="","",Settings!$B$8*D240)</f>
        <v/>
      </c>
      <c r="L240" s="15"/>
      <c r="M240" s="30" t="str">
        <f aca="false">IF(A240="","",IF(L240="Y",H240*Settings!$B$9,0))</f>
        <v/>
      </c>
      <c r="N240" s="30" t="str">
        <f aca="false">IF(A240="","",H240-I240-J240-K240-M240)</f>
        <v/>
      </c>
      <c r="O240" s="25" t="str">
        <f aca="false">IF(A240="","",LEFT(A240,7))</f>
        <v/>
      </c>
    </row>
    <row r="241" customFormat="false" ht="15" hidden="false" customHeight="false" outlineLevel="0" collapsed="false">
      <c r="A241" s="15"/>
      <c r="B241" s="15"/>
      <c r="C241" s="15"/>
      <c r="D241" s="28"/>
      <c r="E241" s="29"/>
      <c r="F241" s="29"/>
      <c r="G241" s="29"/>
      <c r="H241" s="30" t="str">
        <f aca="false">IF(A241="","",D241*E241+F241)</f>
        <v/>
      </c>
      <c r="I241" s="30" t="str">
        <f aca="false">IF(A241="","",H241*Settings!$B$5)</f>
        <v/>
      </c>
      <c r="J241" s="30" t="str">
        <f aca="false">IF(A241="","",(H241+G241)*Settings!$B$6+Settings!$B$7)</f>
        <v/>
      </c>
      <c r="K241" s="30" t="str">
        <f aca="false">IF(A241="","",Settings!$B$8*D241)</f>
        <v/>
      </c>
      <c r="L241" s="15"/>
      <c r="M241" s="30" t="str">
        <f aca="false">IF(A241="","",IF(L241="Y",H241*Settings!$B$9,0))</f>
        <v/>
      </c>
      <c r="N241" s="30" t="str">
        <f aca="false">IF(A241="","",H241-I241-J241-K241-M241)</f>
        <v/>
      </c>
      <c r="O241" s="25" t="str">
        <f aca="false">IF(A241="","",LEFT(A241,7))</f>
        <v/>
      </c>
    </row>
    <row r="242" customFormat="false" ht="15" hidden="false" customHeight="false" outlineLevel="0" collapsed="false">
      <c r="A242" s="15"/>
      <c r="B242" s="15"/>
      <c r="C242" s="15"/>
      <c r="D242" s="28"/>
      <c r="E242" s="29"/>
      <c r="F242" s="29"/>
      <c r="G242" s="29"/>
      <c r="H242" s="30" t="str">
        <f aca="false">IF(A242="","",D242*E242+F242)</f>
        <v/>
      </c>
      <c r="I242" s="30" t="str">
        <f aca="false">IF(A242="","",H242*Settings!$B$5)</f>
        <v/>
      </c>
      <c r="J242" s="30" t="str">
        <f aca="false">IF(A242="","",(H242+G242)*Settings!$B$6+Settings!$B$7)</f>
        <v/>
      </c>
      <c r="K242" s="30" t="str">
        <f aca="false">IF(A242="","",Settings!$B$8*D242)</f>
        <v/>
      </c>
      <c r="L242" s="15"/>
      <c r="M242" s="30" t="str">
        <f aca="false">IF(A242="","",IF(L242="Y",H242*Settings!$B$9,0))</f>
        <v/>
      </c>
      <c r="N242" s="30" t="str">
        <f aca="false">IF(A242="","",H242-I242-J242-K242-M242)</f>
        <v/>
      </c>
      <c r="O242" s="25" t="str">
        <f aca="false">IF(A242="","",LEFT(A242,7))</f>
        <v/>
      </c>
    </row>
    <row r="243" customFormat="false" ht="15" hidden="false" customHeight="false" outlineLevel="0" collapsed="false">
      <c r="A243" s="15"/>
      <c r="B243" s="15"/>
      <c r="C243" s="15"/>
      <c r="D243" s="28"/>
      <c r="E243" s="29"/>
      <c r="F243" s="29"/>
      <c r="G243" s="29"/>
      <c r="H243" s="30" t="str">
        <f aca="false">IF(A243="","",D243*E243+F243)</f>
        <v/>
      </c>
      <c r="I243" s="30" t="str">
        <f aca="false">IF(A243="","",H243*Settings!$B$5)</f>
        <v/>
      </c>
      <c r="J243" s="30" t="str">
        <f aca="false">IF(A243="","",(H243+G243)*Settings!$B$6+Settings!$B$7)</f>
        <v/>
      </c>
      <c r="K243" s="30" t="str">
        <f aca="false">IF(A243="","",Settings!$B$8*D243)</f>
        <v/>
      </c>
      <c r="L243" s="15"/>
      <c r="M243" s="30" t="str">
        <f aca="false">IF(A243="","",IF(L243="Y",H243*Settings!$B$9,0))</f>
        <v/>
      </c>
      <c r="N243" s="30" t="str">
        <f aca="false">IF(A243="","",H243-I243-J243-K243-M243)</f>
        <v/>
      </c>
      <c r="O243" s="25" t="str">
        <f aca="false">IF(A243="","",LEFT(A243,7))</f>
        <v/>
      </c>
    </row>
    <row r="244" customFormat="false" ht="15" hidden="false" customHeight="false" outlineLevel="0" collapsed="false">
      <c r="A244" s="15"/>
      <c r="B244" s="15"/>
      <c r="C244" s="15"/>
      <c r="D244" s="28"/>
      <c r="E244" s="29"/>
      <c r="F244" s="29"/>
      <c r="G244" s="29"/>
      <c r="H244" s="30" t="str">
        <f aca="false">IF(A244="","",D244*E244+F244)</f>
        <v/>
      </c>
      <c r="I244" s="30" t="str">
        <f aca="false">IF(A244="","",H244*Settings!$B$5)</f>
        <v/>
      </c>
      <c r="J244" s="30" t="str">
        <f aca="false">IF(A244="","",(H244+G244)*Settings!$B$6+Settings!$B$7)</f>
        <v/>
      </c>
      <c r="K244" s="30" t="str">
        <f aca="false">IF(A244="","",Settings!$B$8*D244)</f>
        <v/>
      </c>
      <c r="L244" s="15"/>
      <c r="M244" s="30" t="str">
        <f aca="false">IF(A244="","",IF(L244="Y",H244*Settings!$B$9,0))</f>
        <v/>
      </c>
      <c r="N244" s="30" t="str">
        <f aca="false">IF(A244="","",H244-I244-J244-K244-M244)</f>
        <v/>
      </c>
      <c r="O244" s="25" t="str">
        <f aca="false">IF(A244="","",LEFT(A244,7))</f>
        <v/>
      </c>
    </row>
    <row r="245" customFormat="false" ht="15" hidden="false" customHeight="false" outlineLevel="0" collapsed="false">
      <c r="A245" s="15"/>
      <c r="B245" s="15"/>
      <c r="C245" s="15"/>
      <c r="D245" s="28"/>
      <c r="E245" s="29"/>
      <c r="F245" s="29"/>
      <c r="G245" s="29"/>
      <c r="H245" s="30" t="str">
        <f aca="false">IF(A245="","",D245*E245+F245)</f>
        <v/>
      </c>
      <c r="I245" s="30" t="str">
        <f aca="false">IF(A245="","",H245*Settings!$B$5)</f>
        <v/>
      </c>
      <c r="J245" s="30" t="str">
        <f aca="false">IF(A245="","",(H245+G245)*Settings!$B$6+Settings!$B$7)</f>
        <v/>
      </c>
      <c r="K245" s="30" t="str">
        <f aca="false">IF(A245="","",Settings!$B$8*D245)</f>
        <v/>
      </c>
      <c r="L245" s="15"/>
      <c r="M245" s="30" t="str">
        <f aca="false">IF(A245="","",IF(L245="Y",H245*Settings!$B$9,0))</f>
        <v/>
      </c>
      <c r="N245" s="30" t="str">
        <f aca="false">IF(A245="","",H245-I245-J245-K245-M245)</f>
        <v/>
      </c>
      <c r="O245" s="25" t="str">
        <f aca="false">IF(A245="","",LEFT(A245,7))</f>
        <v/>
      </c>
    </row>
    <row r="246" customFormat="false" ht="15" hidden="false" customHeight="false" outlineLevel="0" collapsed="false">
      <c r="A246" s="15"/>
      <c r="B246" s="15"/>
      <c r="C246" s="15"/>
      <c r="D246" s="28"/>
      <c r="E246" s="29"/>
      <c r="F246" s="29"/>
      <c r="G246" s="29"/>
      <c r="H246" s="30" t="str">
        <f aca="false">IF(A246="","",D246*E246+F246)</f>
        <v/>
      </c>
      <c r="I246" s="30" t="str">
        <f aca="false">IF(A246="","",H246*Settings!$B$5)</f>
        <v/>
      </c>
      <c r="J246" s="30" t="str">
        <f aca="false">IF(A246="","",(H246+G246)*Settings!$B$6+Settings!$B$7)</f>
        <v/>
      </c>
      <c r="K246" s="30" t="str">
        <f aca="false">IF(A246="","",Settings!$B$8*D246)</f>
        <v/>
      </c>
      <c r="L246" s="15"/>
      <c r="M246" s="30" t="str">
        <f aca="false">IF(A246="","",IF(L246="Y",H246*Settings!$B$9,0))</f>
        <v/>
      </c>
      <c r="N246" s="30" t="str">
        <f aca="false">IF(A246="","",H246-I246-J246-K246-M246)</f>
        <v/>
      </c>
      <c r="O246" s="25" t="str">
        <f aca="false">IF(A246="","",LEFT(A246,7))</f>
        <v/>
      </c>
    </row>
    <row r="247" customFormat="false" ht="15" hidden="false" customHeight="false" outlineLevel="0" collapsed="false">
      <c r="A247" s="15"/>
      <c r="B247" s="15"/>
      <c r="C247" s="15"/>
      <c r="D247" s="28"/>
      <c r="E247" s="29"/>
      <c r="F247" s="29"/>
      <c r="G247" s="29"/>
      <c r="H247" s="30" t="str">
        <f aca="false">IF(A247="","",D247*E247+F247)</f>
        <v/>
      </c>
      <c r="I247" s="30" t="str">
        <f aca="false">IF(A247="","",H247*Settings!$B$5)</f>
        <v/>
      </c>
      <c r="J247" s="30" t="str">
        <f aca="false">IF(A247="","",(H247+G247)*Settings!$B$6+Settings!$B$7)</f>
        <v/>
      </c>
      <c r="K247" s="30" t="str">
        <f aca="false">IF(A247="","",Settings!$B$8*D247)</f>
        <v/>
      </c>
      <c r="L247" s="15"/>
      <c r="M247" s="30" t="str">
        <f aca="false">IF(A247="","",IF(L247="Y",H247*Settings!$B$9,0))</f>
        <v/>
      </c>
      <c r="N247" s="30" t="str">
        <f aca="false">IF(A247="","",H247-I247-J247-K247-M247)</f>
        <v/>
      </c>
      <c r="O247" s="25" t="str">
        <f aca="false">IF(A247="","",LEFT(A247,7))</f>
        <v/>
      </c>
    </row>
    <row r="248" customFormat="false" ht="15" hidden="false" customHeight="false" outlineLevel="0" collapsed="false">
      <c r="A248" s="15"/>
      <c r="B248" s="15"/>
      <c r="C248" s="15"/>
      <c r="D248" s="28"/>
      <c r="E248" s="29"/>
      <c r="F248" s="29"/>
      <c r="G248" s="29"/>
      <c r="H248" s="30" t="str">
        <f aca="false">IF(A248="","",D248*E248+F248)</f>
        <v/>
      </c>
      <c r="I248" s="30" t="str">
        <f aca="false">IF(A248="","",H248*Settings!$B$5)</f>
        <v/>
      </c>
      <c r="J248" s="30" t="str">
        <f aca="false">IF(A248="","",(H248+G248)*Settings!$B$6+Settings!$B$7)</f>
        <v/>
      </c>
      <c r="K248" s="30" t="str">
        <f aca="false">IF(A248="","",Settings!$B$8*D248)</f>
        <v/>
      </c>
      <c r="L248" s="15"/>
      <c r="M248" s="30" t="str">
        <f aca="false">IF(A248="","",IF(L248="Y",H248*Settings!$B$9,0))</f>
        <v/>
      </c>
      <c r="N248" s="30" t="str">
        <f aca="false">IF(A248="","",H248-I248-J248-K248-M248)</f>
        <v/>
      </c>
      <c r="O248" s="25" t="str">
        <f aca="false">IF(A248="","",LEFT(A248,7))</f>
        <v/>
      </c>
    </row>
    <row r="249" customFormat="false" ht="15" hidden="false" customHeight="false" outlineLevel="0" collapsed="false">
      <c r="A249" s="15"/>
      <c r="B249" s="15"/>
      <c r="C249" s="15"/>
      <c r="D249" s="28"/>
      <c r="E249" s="29"/>
      <c r="F249" s="29"/>
      <c r="G249" s="29"/>
      <c r="H249" s="30" t="str">
        <f aca="false">IF(A249="","",D249*E249+F249)</f>
        <v/>
      </c>
      <c r="I249" s="30" t="str">
        <f aca="false">IF(A249="","",H249*Settings!$B$5)</f>
        <v/>
      </c>
      <c r="J249" s="30" t="str">
        <f aca="false">IF(A249="","",(H249+G249)*Settings!$B$6+Settings!$B$7)</f>
        <v/>
      </c>
      <c r="K249" s="30" t="str">
        <f aca="false">IF(A249="","",Settings!$B$8*D249)</f>
        <v/>
      </c>
      <c r="L249" s="15"/>
      <c r="M249" s="30" t="str">
        <f aca="false">IF(A249="","",IF(L249="Y",H249*Settings!$B$9,0))</f>
        <v/>
      </c>
      <c r="N249" s="30" t="str">
        <f aca="false">IF(A249="","",H249-I249-J249-K249-M249)</f>
        <v/>
      </c>
      <c r="O249" s="25" t="str">
        <f aca="false">IF(A249="","",LEFT(A249,7))</f>
        <v/>
      </c>
    </row>
    <row r="250" customFormat="false" ht="15" hidden="false" customHeight="false" outlineLevel="0" collapsed="false">
      <c r="A250" s="15"/>
      <c r="B250" s="15"/>
      <c r="C250" s="15"/>
      <c r="D250" s="28"/>
      <c r="E250" s="29"/>
      <c r="F250" s="29"/>
      <c r="G250" s="29"/>
      <c r="H250" s="30" t="str">
        <f aca="false">IF(A250="","",D250*E250+F250)</f>
        <v/>
      </c>
      <c r="I250" s="30" t="str">
        <f aca="false">IF(A250="","",H250*Settings!$B$5)</f>
        <v/>
      </c>
      <c r="J250" s="30" t="str">
        <f aca="false">IF(A250="","",(H250+G250)*Settings!$B$6+Settings!$B$7)</f>
        <v/>
      </c>
      <c r="K250" s="30" t="str">
        <f aca="false">IF(A250="","",Settings!$B$8*D250)</f>
        <v/>
      </c>
      <c r="L250" s="15"/>
      <c r="M250" s="30" t="str">
        <f aca="false">IF(A250="","",IF(L250="Y",H250*Settings!$B$9,0))</f>
        <v/>
      </c>
      <c r="N250" s="30" t="str">
        <f aca="false">IF(A250="","",H250-I250-J250-K250-M250)</f>
        <v/>
      </c>
      <c r="O250" s="25" t="str">
        <f aca="false">IF(A250="","",LEFT(A250,7))</f>
        <v/>
      </c>
    </row>
    <row r="251" customFormat="false" ht="15" hidden="false" customHeight="false" outlineLevel="0" collapsed="false">
      <c r="A251" s="15"/>
      <c r="B251" s="15"/>
      <c r="C251" s="15"/>
      <c r="D251" s="28"/>
      <c r="E251" s="29"/>
      <c r="F251" s="29"/>
      <c r="G251" s="29"/>
      <c r="H251" s="30" t="str">
        <f aca="false">IF(A251="","",D251*E251+F251)</f>
        <v/>
      </c>
      <c r="I251" s="30" t="str">
        <f aca="false">IF(A251="","",H251*Settings!$B$5)</f>
        <v/>
      </c>
      <c r="J251" s="30" t="str">
        <f aca="false">IF(A251="","",(H251+G251)*Settings!$B$6+Settings!$B$7)</f>
        <v/>
      </c>
      <c r="K251" s="30" t="str">
        <f aca="false">IF(A251="","",Settings!$B$8*D251)</f>
        <v/>
      </c>
      <c r="L251" s="15"/>
      <c r="M251" s="30" t="str">
        <f aca="false">IF(A251="","",IF(L251="Y",H251*Settings!$B$9,0))</f>
        <v/>
      </c>
      <c r="N251" s="30" t="str">
        <f aca="false">IF(A251="","",H251-I251-J251-K251-M251)</f>
        <v/>
      </c>
      <c r="O251" s="25" t="str">
        <f aca="false">IF(A251="","",LEFT(A251,7))</f>
        <v/>
      </c>
    </row>
    <row r="252" customFormat="false" ht="15" hidden="false" customHeight="false" outlineLevel="0" collapsed="false">
      <c r="A252" s="15"/>
      <c r="B252" s="15"/>
      <c r="C252" s="15"/>
      <c r="D252" s="28"/>
      <c r="E252" s="29"/>
      <c r="F252" s="29"/>
      <c r="G252" s="29"/>
      <c r="H252" s="30" t="str">
        <f aca="false">IF(A252="","",D252*E252+F252)</f>
        <v/>
      </c>
      <c r="I252" s="30" t="str">
        <f aca="false">IF(A252="","",H252*Settings!$B$5)</f>
        <v/>
      </c>
      <c r="J252" s="30" t="str">
        <f aca="false">IF(A252="","",(H252+G252)*Settings!$B$6+Settings!$B$7)</f>
        <v/>
      </c>
      <c r="K252" s="30" t="str">
        <f aca="false">IF(A252="","",Settings!$B$8*D252)</f>
        <v/>
      </c>
      <c r="L252" s="15"/>
      <c r="M252" s="30" t="str">
        <f aca="false">IF(A252="","",IF(L252="Y",H252*Settings!$B$9,0))</f>
        <v/>
      </c>
      <c r="N252" s="30" t="str">
        <f aca="false">IF(A252="","",H252-I252-J252-K252-M252)</f>
        <v/>
      </c>
      <c r="O252" s="25" t="str">
        <f aca="false">IF(A252="","",LEFT(A252,7))</f>
        <v/>
      </c>
    </row>
    <row r="253" customFormat="false" ht="15" hidden="false" customHeight="false" outlineLevel="0" collapsed="false">
      <c r="A253" s="15"/>
      <c r="B253" s="15"/>
      <c r="C253" s="15"/>
      <c r="D253" s="28"/>
      <c r="E253" s="29"/>
      <c r="F253" s="29"/>
      <c r="G253" s="29"/>
      <c r="H253" s="30" t="str">
        <f aca="false">IF(A253="","",D253*E253+F253)</f>
        <v/>
      </c>
      <c r="I253" s="30" t="str">
        <f aca="false">IF(A253="","",H253*Settings!$B$5)</f>
        <v/>
      </c>
      <c r="J253" s="30" t="str">
        <f aca="false">IF(A253="","",(H253+G253)*Settings!$B$6+Settings!$B$7)</f>
        <v/>
      </c>
      <c r="K253" s="30" t="str">
        <f aca="false">IF(A253="","",Settings!$B$8*D253)</f>
        <v/>
      </c>
      <c r="L253" s="15"/>
      <c r="M253" s="30" t="str">
        <f aca="false">IF(A253="","",IF(L253="Y",H253*Settings!$B$9,0))</f>
        <v/>
      </c>
      <c r="N253" s="30" t="str">
        <f aca="false">IF(A253="","",H253-I253-J253-K253-M253)</f>
        <v/>
      </c>
      <c r="O253" s="25" t="str">
        <f aca="false">IF(A253="","",LEFT(A253,7))</f>
        <v/>
      </c>
    </row>
    <row r="254" customFormat="false" ht="15" hidden="false" customHeight="false" outlineLevel="0" collapsed="false">
      <c r="A254" s="15"/>
      <c r="B254" s="15"/>
      <c r="C254" s="15"/>
      <c r="D254" s="28"/>
      <c r="E254" s="29"/>
      <c r="F254" s="29"/>
      <c r="G254" s="29"/>
      <c r="H254" s="30" t="str">
        <f aca="false">IF(A254="","",D254*E254+F254)</f>
        <v/>
      </c>
      <c r="I254" s="30" t="str">
        <f aca="false">IF(A254="","",H254*Settings!$B$5)</f>
        <v/>
      </c>
      <c r="J254" s="30" t="str">
        <f aca="false">IF(A254="","",(H254+G254)*Settings!$B$6+Settings!$B$7)</f>
        <v/>
      </c>
      <c r="K254" s="30" t="str">
        <f aca="false">IF(A254="","",Settings!$B$8*D254)</f>
        <v/>
      </c>
      <c r="L254" s="15"/>
      <c r="M254" s="30" t="str">
        <f aca="false">IF(A254="","",IF(L254="Y",H254*Settings!$B$9,0))</f>
        <v/>
      </c>
      <c r="N254" s="30" t="str">
        <f aca="false">IF(A254="","",H254-I254-J254-K254-M254)</f>
        <v/>
      </c>
      <c r="O254" s="25" t="str">
        <f aca="false">IF(A254="","",LEFT(A254,7))</f>
        <v/>
      </c>
    </row>
    <row r="255" customFormat="false" ht="15" hidden="false" customHeight="false" outlineLevel="0" collapsed="false">
      <c r="A255" s="15"/>
      <c r="B255" s="15"/>
      <c r="C255" s="15"/>
      <c r="D255" s="28"/>
      <c r="E255" s="29"/>
      <c r="F255" s="29"/>
      <c r="G255" s="29"/>
      <c r="H255" s="30" t="str">
        <f aca="false">IF(A255="","",D255*E255+F255)</f>
        <v/>
      </c>
      <c r="I255" s="30" t="str">
        <f aca="false">IF(A255="","",H255*Settings!$B$5)</f>
        <v/>
      </c>
      <c r="J255" s="30" t="str">
        <f aca="false">IF(A255="","",(H255+G255)*Settings!$B$6+Settings!$B$7)</f>
        <v/>
      </c>
      <c r="K255" s="30" t="str">
        <f aca="false">IF(A255="","",Settings!$B$8*D255)</f>
        <v/>
      </c>
      <c r="L255" s="15"/>
      <c r="M255" s="30" t="str">
        <f aca="false">IF(A255="","",IF(L255="Y",H255*Settings!$B$9,0))</f>
        <v/>
      </c>
      <c r="N255" s="30" t="str">
        <f aca="false">IF(A255="","",H255-I255-J255-K255-M255)</f>
        <v/>
      </c>
      <c r="O255" s="25" t="str">
        <f aca="false">IF(A255="","",LEFT(A255,7))</f>
        <v/>
      </c>
    </row>
    <row r="256" customFormat="false" ht="15" hidden="false" customHeight="false" outlineLevel="0" collapsed="false">
      <c r="A256" s="15"/>
      <c r="B256" s="15"/>
      <c r="C256" s="15"/>
      <c r="D256" s="28"/>
      <c r="E256" s="29"/>
      <c r="F256" s="29"/>
      <c r="G256" s="29"/>
      <c r="H256" s="30" t="str">
        <f aca="false">IF(A256="","",D256*E256+F256)</f>
        <v/>
      </c>
      <c r="I256" s="30" t="str">
        <f aca="false">IF(A256="","",H256*Settings!$B$5)</f>
        <v/>
      </c>
      <c r="J256" s="30" t="str">
        <f aca="false">IF(A256="","",(H256+G256)*Settings!$B$6+Settings!$B$7)</f>
        <v/>
      </c>
      <c r="K256" s="30" t="str">
        <f aca="false">IF(A256="","",Settings!$B$8*D256)</f>
        <v/>
      </c>
      <c r="L256" s="15"/>
      <c r="M256" s="30" t="str">
        <f aca="false">IF(A256="","",IF(L256="Y",H256*Settings!$B$9,0))</f>
        <v/>
      </c>
      <c r="N256" s="30" t="str">
        <f aca="false">IF(A256="","",H256-I256-J256-K256-M256)</f>
        <v/>
      </c>
      <c r="O256" s="25" t="str">
        <f aca="false">IF(A256="","",LEFT(A256,7))</f>
        <v/>
      </c>
    </row>
    <row r="257" customFormat="false" ht="15" hidden="false" customHeight="false" outlineLevel="0" collapsed="false">
      <c r="A257" s="15"/>
      <c r="B257" s="15"/>
      <c r="C257" s="15"/>
      <c r="D257" s="28"/>
      <c r="E257" s="29"/>
      <c r="F257" s="29"/>
      <c r="G257" s="29"/>
      <c r="H257" s="30" t="str">
        <f aca="false">IF(A257="","",D257*E257+F257)</f>
        <v/>
      </c>
      <c r="I257" s="30" t="str">
        <f aca="false">IF(A257="","",H257*Settings!$B$5)</f>
        <v/>
      </c>
      <c r="J257" s="30" t="str">
        <f aca="false">IF(A257="","",(H257+G257)*Settings!$B$6+Settings!$B$7)</f>
        <v/>
      </c>
      <c r="K257" s="30" t="str">
        <f aca="false">IF(A257="","",Settings!$B$8*D257)</f>
        <v/>
      </c>
      <c r="L257" s="15"/>
      <c r="M257" s="30" t="str">
        <f aca="false">IF(A257="","",IF(L257="Y",H257*Settings!$B$9,0))</f>
        <v/>
      </c>
      <c r="N257" s="30" t="str">
        <f aca="false">IF(A257="","",H257-I257-J257-K257-M257)</f>
        <v/>
      </c>
      <c r="O257" s="25" t="str">
        <f aca="false">IF(A257="","",LEFT(A257,7))</f>
        <v/>
      </c>
    </row>
    <row r="258" customFormat="false" ht="15" hidden="false" customHeight="false" outlineLevel="0" collapsed="false">
      <c r="A258" s="15"/>
      <c r="B258" s="15"/>
      <c r="C258" s="15"/>
      <c r="D258" s="28"/>
      <c r="E258" s="29"/>
      <c r="F258" s="29"/>
      <c r="G258" s="29"/>
      <c r="H258" s="30" t="str">
        <f aca="false">IF(A258="","",D258*E258+F258)</f>
        <v/>
      </c>
      <c r="I258" s="30" t="str">
        <f aca="false">IF(A258="","",H258*Settings!$B$5)</f>
        <v/>
      </c>
      <c r="J258" s="30" t="str">
        <f aca="false">IF(A258="","",(H258+G258)*Settings!$B$6+Settings!$B$7)</f>
        <v/>
      </c>
      <c r="K258" s="30" t="str">
        <f aca="false">IF(A258="","",Settings!$B$8*D258)</f>
        <v/>
      </c>
      <c r="L258" s="15"/>
      <c r="M258" s="30" t="str">
        <f aca="false">IF(A258="","",IF(L258="Y",H258*Settings!$B$9,0))</f>
        <v/>
      </c>
      <c r="N258" s="30" t="str">
        <f aca="false">IF(A258="","",H258-I258-J258-K258-M258)</f>
        <v/>
      </c>
      <c r="O258" s="25" t="str">
        <f aca="false">IF(A258="","",LEFT(A258,7))</f>
        <v/>
      </c>
    </row>
    <row r="259" customFormat="false" ht="15" hidden="false" customHeight="false" outlineLevel="0" collapsed="false">
      <c r="A259" s="15"/>
      <c r="B259" s="15"/>
      <c r="C259" s="15"/>
      <c r="D259" s="28"/>
      <c r="E259" s="29"/>
      <c r="F259" s="29"/>
      <c r="G259" s="29"/>
      <c r="H259" s="30" t="str">
        <f aca="false">IF(A259="","",D259*E259+F259)</f>
        <v/>
      </c>
      <c r="I259" s="30" t="str">
        <f aca="false">IF(A259="","",H259*Settings!$B$5)</f>
        <v/>
      </c>
      <c r="J259" s="30" t="str">
        <f aca="false">IF(A259="","",(H259+G259)*Settings!$B$6+Settings!$B$7)</f>
        <v/>
      </c>
      <c r="K259" s="30" t="str">
        <f aca="false">IF(A259="","",Settings!$B$8*D259)</f>
        <v/>
      </c>
      <c r="L259" s="15"/>
      <c r="M259" s="30" t="str">
        <f aca="false">IF(A259="","",IF(L259="Y",H259*Settings!$B$9,0))</f>
        <v/>
      </c>
      <c r="N259" s="30" t="str">
        <f aca="false">IF(A259="","",H259-I259-J259-K259-M259)</f>
        <v/>
      </c>
      <c r="O259" s="25" t="str">
        <f aca="false">IF(A259="","",LEFT(A259,7))</f>
        <v/>
      </c>
    </row>
    <row r="260" customFormat="false" ht="15" hidden="false" customHeight="false" outlineLevel="0" collapsed="false">
      <c r="A260" s="15"/>
      <c r="B260" s="15"/>
      <c r="C260" s="15"/>
      <c r="D260" s="28"/>
      <c r="E260" s="29"/>
      <c r="F260" s="29"/>
      <c r="G260" s="29"/>
      <c r="H260" s="30" t="str">
        <f aca="false">IF(A260="","",D260*E260+F260)</f>
        <v/>
      </c>
      <c r="I260" s="30" t="str">
        <f aca="false">IF(A260="","",H260*Settings!$B$5)</f>
        <v/>
      </c>
      <c r="J260" s="30" t="str">
        <f aca="false">IF(A260="","",(H260+G260)*Settings!$B$6+Settings!$B$7)</f>
        <v/>
      </c>
      <c r="K260" s="30" t="str">
        <f aca="false">IF(A260="","",Settings!$B$8*D260)</f>
        <v/>
      </c>
      <c r="L260" s="15"/>
      <c r="M260" s="30" t="str">
        <f aca="false">IF(A260="","",IF(L260="Y",H260*Settings!$B$9,0))</f>
        <v/>
      </c>
      <c r="N260" s="30" t="str">
        <f aca="false">IF(A260="","",H260-I260-J260-K260-M260)</f>
        <v/>
      </c>
      <c r="O260" s="25" t="str">
        <f aca="false">IF(A260="","",LEFT(A260,7))</f>
        <v/>
      </c>
    </row>
    <row r="261" customFormat="false" ht="15" hidden="false" customHeight="false" outlineLevel="0" collapsed="false">
      <c r="A261" s="15"/>
      <c r="B261" s="15"/>
      <c r="C261" s="15"/>
      <c r="D261" s="28"/>
      <c r="E261" s="29"/>
      <c r="F261" s="29"/>
      <c r="G261" s="29"/>
      <c r="H261" s="30" t="str">
        <f aca="false">IF(A261="","",D261*E261+F261)</f>
        <v/>
      </c>
      <c r="I261" s="30" t="str">
        <f aca="false">IF(A261="","",H261*Settings!$B$5)</f>
        <v/>
      </c>
      <c r="J261" s="30" t="str">
        <f aca="false">IF(A261="","",(H261+G261)*Settings!$B$6+Settings!$B$7)</f>
        <v/>
      </c>
      <c r="K261" s="30" t="str">
        <f aca="false">IF(A261="","",Settings!$B$8*D261)</f>
        <v/>
      </c>
      <c r="L261" s="15"/>
      <c r="M261" s="30" t="str">
        <f aca="false">IF(A261="","",IF(L261="Y",H261*Settings!$B$9,0))</f>
        <v/>
      </c>
      <c r="N261" s="30" t="str">
        <f aca="false">IF(A261="","",H261-I261-J261-K261-M261)</f>
        <v/>
      </c>
      <c r="O261" s="25" t="str">
        <f aca="false">IF(A261="","",LEFT(A261,7))</f>
        <v/>
      </c>
    </row>
    <row r="262" customFormat="false" ht="15" hidden="false" customHeight="false" outlineLevel="0" collapsed="false">
      <c r="A262" s="15"/>
      <c r="B262" s="15"/>
      <c r="C262" s="15"/>
      <c r="D262" s="28"/>
      <c r="E262" s="29"/>
      <c r="F262" s="29"/>
      <c r="G262" s="29"/>
      <c r="H262" s="30" t="str">
        <f aca="false">IF(A262="","",D262*E262+F262)</f>
        <v/>
      </c>
      <c r="I262" s="30" t="str">
        <f aca="false">IF(A262="","",H262*Settings!$B$5)</f>
        <v/>
      </c>
      <c r="J262" s="30" t="str">
        <f aca="false">IF(A262="","",(H262+G262)*Settings!$B$6+Settings!$B$7)</f>
        <v/>
      </c>
      <c r="K262" s="30" t="str">
        <f aca="false">IF(A262="","",Settings!$B$8*D262)</f>
        <v/>
      </c>
      <c r="L262" s="15"/>
      <c r="M262" s="30" t="str">
        <f aca="false">IF(A262="","",IF(L262="Y",H262*Settings!$B$9,0))</f>
        <v/>
      </c>
      <c r="N262" s="30" t="str">
        <f aca="false">IF(A262="","",H262-I262-J262-K262-M262)</f>
        <v/>
      </c>
      <c r="O262" s="25" t="str">
        <f aca="false">IF(A262="","",LEFT(A262,7))</f>
        <v/>
      </c>
    </row>
    <row r="263" customFormat="false" ht="15" hidden="false" customHeight="false" outlineLevel="0" collapsed="false">
      <c r="A263" s="15"/>
      <c r="B263" s="15"/>
      <c r="C263" s="15"/>
      <c r="D263" s="28"/>
      <c r="E263" s="29"/>
      <c r="F263" s="29"/>
      <c r="G263" s="29"/>
      <c r="H263" s="30" t="str">
        <f aca="false">IF(A263="","",D263*E263+F263)</f>
        <v/>
      </c>
      <c r="I263" s="30" t="str">
        <f aca="false">IF(A263="","",H263*Settings!$B$5)</f>
        <v/>
      </c>
      <c r="J263" s="30" t="str">
        <f aca="false">IF(A263="","",(H263+G263)*Settings!$B$6+Settings!$B$7)</f>
        <v/>
      </c>
      <c r="K263" s="30" t="str">
        <f aca="false">IF(A263="","",Settings!$B$8*D263)</f>
        <v/>
      </c>
      <c r="L263" s="15"/>
      <c r="M263" s="30" t="str">
        <f aca="false">IF(A263="","",IF(L263="Y",H263*Settings!$B$9,0))</f>
        <v/>
      </c>
      <c r="N263" s="30" t="str">
        <f aca="false">IF(A263="","",H263-I263-J263-K263-M263)</f>
        <v/>
      </c>
      <c r="O263" s="25" t="str">
        <f aca="false">IF(A263="","",LEFT(A263,7))</f>
        <v/>
      </c>
    </row>
    <row r="264" customFormat="false" ht="15" hidden="false" customHeight="false" outlineLevel="0" collapsed="false">
      <c r="A264" s="15"/>
      <c r="B264" s="15"/>
      <c r="C264" s="15"/>
      <c r="D264" s="28"/>
      <c r="E264" s="29"/>
      <c r="F264" s="29"/>
      <c r="G264" s="29"/>
      <c r="H264" s="30" t="str">
        <f aca="false">IF(A264="","",D264*E264+F264)</f>
        <v/>
      </c>
      <c r="I264" s="30" t="str">
        <f aca="false">IF(A264="","",H264*Settings!$B$5)</f>
        <v/>
      </c>
      <c r="J264" s="30" t="str">
        <f aca="false">IF(A264="","",(H264+G264)*Settings!$B$6+Settings!$B$7)</f>
        <v/>
      </c>
      <c r="K264" s="30" t="str">
        <f aca="false">IF(A264="","",Settings!$B$8*D264)</f>
        <v/>
      </c>
      <c r="L264" s="15"/>
      <c r="M264" s="30" t="str">
        <f aca="false">IF(A264="","",IF(L264="Y",H264*Settings!$B$9,0))</f>
        <v/>
      </c>
      <c r="N264" s="30" t="str">
        <f aca="false">IF(A264="","",H264-I264-J264-K264-M264)</f>
        <v/>
      </c>
      <c r="O264" s="25" t="str">
        <f aca="false">IF(A264="","",LEFT(A264,7))</f>
        <v/>
      </c>
    </row>
    <row r="265" customFormat="false" ht="15" hidden="false" customHeight="false" outlineLevel="0" collapsed="false">
      <c r="A265" s="15"/>
      <c r="B265" s="15"/>
      <c r="C265" s="15"/>
      <c r="D265" s="28"/>
      <c r="E265" s="29"/>
      <c r="F265" s="29"/>
      <c r="G265" s="29"/>
      <c r="H265" s="30" t="str">
        <f aca="false">IF(A265="","",D265*E265+F265)</f>
        <v/>
      </c>
      <c r="I265" s="30" t="str">
        <f aca="false">IF(A265="","",H265*Settings!$B$5)</f>
        <v/>
      </c>
      <c r="J265" s="30" t="str">
        <f aca="false">IF(A265="","",(H265+G265)*Settings!$B$6+Settings!$B$7)</f>
        <v/>
      </c>
      <c r="K265" s="30" t="str">
        <f aca="false">IF(A265="","",Settings!$B$8*D265)</f>
        <v/>
      </c>
      <c r="L265" s="15"/>
      <c r="M265" s="30" t="str">
        <f aca="false">IF(A265="","",IF(L265="Y",H265*Settings!$B$9,0))</f>
        <v/>
      </c>
      <c r="N265" s="30" t="str">
        <f aca="false">IF(A265="","",H265-I265-J265-K265-M265)</f>
        <v/>
      </c>
      <c r="O265" s="25" t="str">
        <f aca="false">IF(A265="","",LEFT(A265,7))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9"/>
  </cols>
  <sheetData>
    <row r="1" customFormat="false" ht="17.35" hidden="false" customHeight="false" outlineLevel="0" collapsed="false">
      <c r="A1" s="1" t="s">
        <v>29</v>
      </c>
    </row>
    <row r="3" customFormat="false" ht="15" hidden="false" customHeight="false" outlineLevel="0" collapsed="false">
      <c r="A3" s="2" t="s">
        <v>49</v>
      </c>
    </row>
    <row r="4" customFormat="false" ht="30" hidden="false" customHeight="true" outlineLevel="0" collapsed="false">
      <c r="A4" s="14" t="s">
        <v>58</v>
      </c>
      <c r="B4" s="14" t="s">
        <v>176</v>
      </c>
      <c r="C4" s="14" t="s">
        <v>177</v>
      </c>
      <c r="D4" s="14" t="s">
        <v>178</v>
      </c>
      <c r="E4" s="14" t="s">
        <v>24</v>
      </c>
    </row>
    <row r="5" customFormat="false" ht="15" hidden="false" customHeight="false" outlineLevel="0" collapsed="false">
      <c r="A5" s="15" t="s">
        <v>71</v>
      </c>
      <c r="B5" s="15" t="s">
        <v>179</v>
      </c>
      <c r="C5" s="15" t="s">
        <v>180</v>
      </c>
      <c r="D5" s="29" t="n">
        <v>15</v>
      </c>
      <c r="E5" s="25" t="str">
        <f aca="false">IF(A5="","",LEFT(A5,7))</f>
        <v>2026-07</v>
      </c>
    </row>
    <row r="6" customFormat="false" ht="15" hidden="false" customHeight="false" outlineLevel="0" collapsed="false">
      <c r="A6" s="15" t="s">
        <v>90</v>
      </c>
      <c r="B6" s="15" t="s">
        <v>181</v>
      </c>
      <c r="C6" s="15" t="s">
        <v>182</v>
      </c>
      <c r="D6" s="29" t="n">
        <v>45</v>
      </c>
      <c r="E6" s="25" t="str">
        <f aca="false">IF(A6="","",LEFT(A6,7))</f>
        <v>2026-07</v>
      </c>
    </row>
    <row r="7" customFormat="false" ht="15" hidden="false" customHeight="false" outlineLevel="0" collapsed="false">
      <c r="A7" s="15" t="s">
        <v>183</v>
      </c>
      <c r="B7" s="15" t="s">
        <v>179</v>
      </c>
      <c r="C7" s="15" t="s">
        <v>180</v>
      </c>
      <c r="D7" s="29" t="n">
        <v>15</v>
      </c>
      <c r="E7" s="25" t="str">
        <f aca="false">IF(A7="","",LEFT(A7,7))</f>
        <v>2026-08</v>
      </c>
    </row>
    <row r="8" customFormat="false" ht="15" hidden="false" customHeight="false" outlineLevel="0" collapsed="false">
      <c r="A8" s="15" t="s">
        <v>142</v>
      </c>
      <c r="B8" s="15" t="s">
        <v>181</v>
      </c>
      <c r="C8" s="15" t="s">
        <v>182</v>
      </c>
      <c r="D8" s="29" t="n">
        <v>60</v>
      </c>
      <c r="E8" s="25" t="str">
        <f aca="false">IF(A8="","",LEFT(A8,7))</f>
        <v>2026-08</v>
      </c>
    </row>
    <row r="9" customFormat="false" ht="15" hidden="false" customHeight="false" outlineLevel="0" collapsed="false">
      <c r="A9" s="15" t="s">
        <v>184</v>
      </c>
      <c r="B9" s="15" t="s">
        <v>185</v>
      </c>
      <c r="C9" s="15" t="s">
        <v>186</v>
      </c>
      <c r="D9" s="29" t="n">
        <v>20</v>
      </c>
      <c r="E9" s="25" t="str">
        <f aca="false">IF(A9="","",LEFT(A9,7))</f>
        <v>2026-08</v>
      </c>
    </row>
    <row r="10" customFormat="false" ht="15" hidden="false" customHeight="false" outlineLevel="0" collapsed="false">
      <c r="A10" s="15" t="s">
        <v>187</v>
      </c>
      <c r="B10" s="15" t="s">
        <v>179</v>
      </c>
      <c r="C10" s="15" t="s">
        <v>180</v>
      </c>
      <c r="D10" s="29" t="n">
        <v>15</v>
      </c>
      <c r="E10" s="25" t="str">
        <f aca="false">IF(A10="","",LEFT(A10,7))</f>
        <v>2026-09</v>
      </c>
    </row>
    <row r="11" customFormat="false" ht="15" hidden="false" customHeight="false" outlineLevel="0" collapsed="false">
      <c r="A11" s="15" t="s">
        <v>188</v>
      </c>
      <c r="B11" s="15" t="s">
        <v>181</v>
      </c>
      <c r="C11" s="15" t="s">
        <v>182</v>
      </c>
      <c r="D11" s="29" t="n">
        <v>60</v>
      </c>
      <c r="E11" s="25" t="str">
        <f aca="false">IF(A11="","",LEFT(A11,7))</f>
        <v>2026-09</v>
      </c>
    </row>
    <row r="12" customFormat="false" ht="15" hidden="false" customHeight="false" outlineLevel="0" collapsed="false">
      <c r="A12" s="15"/>
      <c r="B12" s="15"/>
      <c r="C12" s="15"/>
      <c r="D12" s="29"/>
      <c r="E12" s="25" t="str">
        <f aca="false">IF(A12="","",LEFT(A12,7))</f>
        <v/>
      </c>
    </row>
    <row r="13" customFormat="false" ht="15" hidden="false" customHeight="false" outlineLevel="0" collapsed="false">
      <c r="A13" s="15"/>
      <c r="B13" s="15"/>
      <c r="C13" s="15"/>
      <c r="D13" s="29"/>
      <c r="E13" s="25" t="str">
        <f aca="false">IF(A13="","",LEFT(A13,7))</f>
        <v/>
      </c>
    </row>
    <row r="14" customFormat="false" ht="15" hidden="false" customHeight="false" outlineLevel="0" collapsed="false">
      <c r="A14" s="15"/>
      <c r="B14" s="15"/>
      <c r="C14" s="15"/>
      <c r="D14" s="29"/>
      <c r="E14" s="25" t="str">
        <f aca="false">IF(A14="","",LEFT(A14,7))</f>
        <v/>
      </c>
    </row>
    <row r="15" customFormat="false" ht="15" hidden="false" customHeight="false" outlineLevel="0" collapsed="false">
      <c r="A15" s="15"/>
      <c r="B15" s="15"/>
      <c r="C15" s="15"/>
      <c r="D15" s="29"/>
      <c r="E15" s="25" t="str">
        <f aca="false">IF(A15="","",LEFT(A15,7))</f>
        <v/>
      </c>
    </row>
    <row r="16" customFormat="false" ht="15" hidden="false" customHeight="false" outlineLevel="0" collapsed="false">
      <c r="A16" s="15"/>
      <c r="B16" s="15"/>
      <c r="C16" s="15"/>
      <c r="D16" s="29"/>
      <c r="E16" s="25" t="str">
        <f aca="false">IF(A16="","",LEFT(A16,7))</f>
        <v/>
      </c>
    </row>
    <row r="17" customFormat="false" ht="15" hidden="false" customHeight="false" outlineLevel="0" collapsed="false">
      <c r="A17" s="15"/>
      <c r="B17" s="15"/>
      <c r="C17" s="15"/>
      <c r="D17" s="29"/>
      <c r="E17" s="25" t="str">
        <f aca="false">IF(A17="","",LEFT(A17,7))</f>
        <v/>
      </c>
    </row>
    <row r="18" customFormat="false" ht="15" hidden="false" customHeight="false" outlineLevel="0" collapsed="false">
      <c r="A18" s="15"/>
      <c r="B18" s="15"/>
      <c r="C18" s="15"/>
      <c r="D18" s="29"/>
      <c r="E18" s="25" t="str">
        <f aca="false">IF(A18="","",LEFT(A18,7))</f>
        <v/>
      </c>
    </row>
    <row r="19" customFormat="false" ht="15" hidden="false" customHeight="false" outlineLevel="0" collapsed="false">
      <c r="A19" s="15"/>
      <c r="B19" s="15"/>
      <c r="C19" s="15"/>
      <c r="D19" s="29"/>
      <c r="E19" s="25" t="str">
        <f aca="false">IF(A19="","",LEFT(A19,7))</f>
        <v/>
      </c>
    </row>
    <row r="20" customFormat="false" ht="15" hidden="false" customHeight="false" outlineLevel="0" collapsed="false">
      <c r="A20" s="15"/>
      <c r="B20" s="15"/>
      <c r="C20" s="15"/>
      <c r="D20" s="29"/>
      <c r="E20" s="25" t="str">
        <f aca="false">IF(A20="","",LEFT(A20,7))</f>
        <v/>
      </c>
    </row>
    <row r="21" customFormat="false" ht="15" hidden="false" customHeight="false" outlineLevel="0" collapsed="false">
      <c r="A21" s="15"/>
      <c r="B21" s="15"/>
      <c r="C21" s="15"/>
      <c r="D21" s="29"/>
      <c r="E21" s="25" t="str">
        <f aca="false">IF(A21="","",LEFT(A21,7))</f>
        <v/>
      </c>
    </row>
    <row r="22" customFormat="false" ht="15" hidden="false" customHeight="false" outlineLevel="0" collapsed="false">
      <c r="A22" s="15"/>
      <c r="B22" s="15"/>
      <c r="C22" s="15"/>
      <c r="D22" s="29"/>
      <c r="E22" s="25" t="str">
        <f aca="false">IF(A22="","",LEFT(A22,7))</f>
        <v/>
      </c>
    </row>
    <row r="23" customFormat="false" ht="15" hidden="false" customHeight="false" outlineLevel="0" collapsed="false">
      <c r="A23" s="15"/>
      <c r="B23" s="15"/>
      <c r="C23" s="15"/>
      <c r="D23" s="29"/>
      <c r="E23" s="25" t="str">
        <f aca="false">IF(A23="","",LEFT(A23,7))</f>
        <v/>
      </c>
    </row>
    <row r="24" customFormat="false" ht="15" hidden="false" customHeight="false" outlineLevel="0" collapsed="false">
      <c r="A24" s="15"/>
      <c r="B24" s="15"/>
      <c r="C24" s="15"/>
      <c r="D24" s="29"/>
      <c r="E24" s="25" t="str">
        <f aca="false">IF(A24="","",LEFT(A24,7))</f>
        <v/>
      </c>
    </row>
    <row r="25" customFormat="false" ht="15" hidden="false" customHeight="false" outlineLevel="0" collapsed="false">
      <c r="A25" s="15"/>
      <c r="B25" s="15"/>
      <c r="C25" s="15"/>
      <c r="D25" s="29"/>
      <c r="E25" s="25" t="str">
        <f aca="false">IF(A25="","",LEFT(A25,7))</f>
        <v/>
      </c>
    </row>
    <row r="26" customFormat="false" ht="15" hidden="false" customHeight="false" outlineLevel="0" collapsed="false">
      <c r="A26" s="15"/>
      <c r="B26" s="15"/>
      <c r="C26" s="15"/>
      <c r="D26" s="29"/>
      <c r="E26" s="25" t="str">
        <f aca="false">IF(A26="","",LEFT(A26,7))</f>
        <v/>
      </c>
    </row>
    <row r="27" customFormat="false" ht="15" hidden="false" customHeight="false" outlineLevel="0" collapsed="false">
      <c r="A27" s="15"/>
      <c r="B27" s="15"/>
      <c r="C27" s="15"/>
      <c r="D27" s="29"/>
      <c r="E27" s="25" t="str">
        <f aca="false">IF(A27="","",LEFT(A27,7))</f>
        <v/>
      </c>
    </row>
    <row r="28" customFormat="false" ht="15" hidden="false" customHeight="false" outlineLevel="0" collapsed="false">
      <c r="A28" s="15"/>
      <c r="B28" s="15"/>
      <c r="C28" s="15"/>
      <c r="D28" s="29"/>
      <c r="E28" s="25" t="str">
        <f aca="false">IF(A28="","",LEFT(A28,7))</f>
        <v/>
      </c>
    </row>
    <row r="29" customFormat="false" ht="15" hidden="false" customHeight="false" outlineLevel="0" collapsed="false">
      <c r="A29" s="15"/>
      <c r="B29" s="15"/>
      <c r="C29" s="15"/>
      <c r="D29" s="29"/>
      <c r="E29" s="25" t="str">
        <f aca="false">IF(A29="","",LEFT(A29,7))</f>
        <v/>
      </c>
    </row>
    <row r="30" customFormat="false" ht="15" hidden="false" customHeight="false" outlineLevel="0" collapsed="false">
      <c r="A30" s="15"/>
      <c r="B30" s="15"/>
      <c r="C30" s="15"/>
      <c r="D30" s="29"/>
      <c r="E30" s="25" t="str">
        <f aca="false">IF(A30="","",LEFT(A30,7))</f>
        <v/>
      </c>
    </row>
    <row r="31" customFormat="false" ht="15" hidden="false" customHeight="false" outlineLevel="0" collapsed="false">
      <c r="A31" s="15"/>
      <c r="B31" s="15"/>
      <c r="C31" s="15"/>
      <c r="D31" s="29"/>
      <c r="E31" s="25" t="str">
        <f aca="false">IF(A31="","",LEFT(A31,7))</f>
        <v/>
      </c>
    </row>
    <row r="32" customFormat="false" ht="15" hidden="false" customHeight="false" outlineLevel="0" collapsed="false">
      <c r="A32" s="15"/>
      <c r="B32" s="15"/>
      <c r="C32" s="15"/>
      <c r="D32" s="29"/>
      <c r="E32" s="25" t="str">
        <f aca="false">IF(A32="","",LEFT(A32,7))</f>
        <v/>
      </c>
    </row>
    <row r="33" customFormat="false" ht="15" hidden="false" customHeight="false" outlineLevel="0" collapsed="false">
      <c r="A33" s="15"/>
      <c r="B33" s="15"/>
      <c r="C33" s="15"/>
      <c r="D33" s="29"/>
      <c r="E33" s="25" t="str">
        <f aca="false">IF(A33="","",LEFT(A33,7))</f>
        <v/>
      </c>
    </row>
    <row r="34" customFormat="false" ht="15" hidden="false" customHeight="false" outlineLevel="0" collapsed="false">
      <c r="A34" s="15"/>
      <c r="B34" s="15"/>
      <c r="C34" s="15"/>
      <c r="D34" s="29"/>
      <c r="E34" s="25" t="str">
        <f aca="false">IF(A34="","",LEFT(A34,7))</f>
        <v/>
      </c>
    </row>
    <row r="35" customFormat="false" ht="15" hidden="false" customHeight="false" outlineLevel="0" collapsed="false">
      <c r="A35" s="15"/>
      <c r="B35" s="15"/>
      <c r="C35" s="15"/>
      <c r="D35" s="29"/>
      <c r="E35" s="25" t="str">
        <f aca="false">IF(A35="","",LEFT(A35,7))</f>
        <v/>
      </c>
    </row>
    <row r="36" customFormat="false" ht="15" hidden="false" customHeight="false" outlineLevel="0" collapsed="false">
      <c r="A36" s="15"/>
      <c r="B36" s="15"/>
      <c r="C36" s="15"/>
      <c r="D36" s="29"/>
      <c r="E36" s="25" t="str">
        <f aca="false">IF(A36="","",LEFT(A36,7))</f>
        <v/>
      </c>
    </row>
    <row r="37" customFormat="false" ht="15" hidden="false" customHeight="false" outlineLevel="0" collapsed="false">
      <c r="A37" s="15"/>
      <c r="B37" s="15"/>
      <c r="C37" s="15"/>
      <c r="D37" s="29"/>
      <c r="E37" s="25" t="str">
        <f aca="false">IF(A37="","",LEFT(A37,7))</f>
        <v/>
      </c>
    </row>
    <row r="38" customFormat="false" ht="15" hidden="false" customHeight="false" outlineLevel="0" collapsed="false">
      <c r="A38" s="15"/>
      <c r="B38" s="15"/>
      <c r="C38" s="15"/>
      <c r="D38" s="29"/>
      <c r="E38" s="25" t="str">
        <f aca="false">IF(A38="","",LEFT(A38,7))</f>
        <v/>
      </c>
    </row>
    <row r="39" customFormat="false" ht="15" hidden="false" customHeight="false" outlineLevel="0" collapsed="false">
      <c r="A39" s="15"/>
      <c r="B39" s="15"/>
      <c r="C39" s="15"/>
      <c r="D39" s="29"/>
      <c r="E39" s="25" t="str">
        <f aca="false">IF(A39="","",LEFT(A39,7))</f>
        <v/>
      </c>
    </row>
    <row r="40" customFormat="false" ht="15" hidden="false" customHeight="false" outlineLevel="0" collapsed="false">
      <c r="A40" s="15"/>
      <c r="B40" s="15"/>
      <c r="C40" s="15"/>
      <c r="D40" s="29"/>
      <c r="E40" s="25" t="str">
        <f aca="false">IF(A40="","",LEFT(A40,7))</f>
        <v/>
      </c>
    </row>
    <row r="41" customFormat="false" ht="15" hidden="false" customHeight="false" outlineLevel="0" collapsed="false">
      <c r="A41" s="15"/>
      <c r="B41" s="15"/>
      <c r="C41" s="15"/>
      <c r="D41" s="29"/>
      <c r="E41" s="25" t="str">
        <f aca="false">IF(A41="","",LEFT(A41,7))</f>
        <v/>
      </c>
    </row>
    <row r="42" customFormat="false" ht="15" hidden="false" customHeight="false" outlineLevel="0" collapsed="false">
      <c r="A42" s="15"/>
      <c r="B42" s="15"/>
      <c r="C42" s="15"/>
      <c r="D42" s="29"/>
      <c r="E42" s="25" t="str">
        <f aca="false">IF(A42="","",LEFT(A42,7))</f>
        <v/>
      </c>
    </row>
    <row r="43" customFormat="false" ht="15" hidden="false" customHeight="false" outlineLevel="0" collapsed="false">
      <c r="A43" s="15"/>
      <c r="B43" s="15"/>
      <c r="C43" s="15"/>
      <c r="D43" s="29"/>
      <c r="E43" s="25" t="str">
        <f aca="false">IF(A43="","",LEFT(A43,7))</f>
        <v/>
      </c>
    </row>
    <row r="44" customFormat="false" ht="15" hidden="false" customHeight="false" outlineLevel="0" collapsed="false">
      <c r="A44" s="15"/>
      <c r="B44" s="15"/>
      <c r="C44" s="15"/>
      <c r="D44" s="29"/>
      <c r="E44" s="25" t="str">
        <f aca="false">IF(A44="","",LEFT(A44,7))</f>
        <v/>
      </c>
    </row>
    <row r="45" customFormat="false" ht="15" hidden="false" customHeight="false" outlineLevel="0" collapsed="false">
      <c r="A45" s="15"/>
      <c r="B45" s="15"/>
      <c r="C45" s="15"/>
      <c r="D45" s="29"/>
      <c r="E45" s="25" t="str">
        <f aca="false">IF(A45="","",LEFT(A45,7))</f>
        <v/>
      </c>
    </row>
    <row r="46" customFormat="false" ht="15" hidden="false" customHeight="false" outlineLevel="0" collapsed="false">
      <c r="A46" s="15"/>
      <c r="B46" s="15"/>
      <c r="C46" s="15"/>
      <c r="D46" s="29"/>
      <c r="E46" s="25" t="str">
        <f aca="false">IF(A46="","",LEFT(A46,7))</f>
        <v/>
      </c>
    </row>
    <row r="47" customFormat="false" ht="15" hidden="false" customHeight="false" outlineLevel="0" collapsed="false">
      <c r="A47" s="15"/>
      <c r="B47" s="15"/>
      <c r="C47" s="15"/>
      <c r="D47" s="29"/>
      <c r="E47" s="25" t="str">
        <f aca="false">IF(A47="","",LEFT(A47,7))</f>
        <v/>
      </c>
    </row>
    <row r="48" customFormat="false" ht="15" hidden="false" customHeight="false" outlineLevel="0" collapsed="false">
      <c r="A48" s="15"/>
      <c r="B48" s="15"/>
      <c r="C48" s="15"/>
      <c r="D48" s="29"/>
      <c r="E48" s="25" t="str">
        <f aca="false">IF(A48="","",LEFT(A48,7))</f>
        <v/>
      </c>
    </row>
    <row r="49" customFormat="false" ht="15" hidden="false" customHeight="false" outlineLevel="0" collapsed="false">
      <c r="A49" s="15"/>
      <c r="B49" s="15"/>
      <c r="C49" s="15"/>
      <c r="D49" s="29"/>
      <c r="E49" s="25" t="str">
        <f aca="false">IF(A49="","",LEFT(A49,7))</f>
        <v/>
      </c>
    </row>
    <row r="50" customFormat="false" ht="15" hidden="false" customHeight="false" outlineLevel="0" collapsed="false">
      <c r="A50" s="15"/>
      <c r="B50" s="15"/>
      <c r="C50" s="15"/>
      <c r="D50" s="29"/>
      <c r="E50" s="25" t="str">
        <f aca="false">IF(A50="","",LEFT(A50,7))</f>
        <v/>
      </c>
    </row>
    <row r="51" customFormat="false" ht="15" hidden="false" customHeight="false" outlineLevel="0" collapsed="false">
      <c r="A51" s="15"/>
      <c r="B51" s="15"/>
      <c r="C51" s="15"/>
      <c r="D51" s="29"/>
      <c r="E51" s="25" t="str">
        <f aca="false">IF(A51="","",LEFT(A51,7))</f>
        <v/>
      </c>
    </row>
    <row r="52" customFormat="false" ht="15" hidden="false" customHeight="false" outlineLevel="0" collapsed="false">
      <c r="A52" s="15"/>
      <c r="B52" s="15"/>
      <c r="C52" s="15"/>
      <c r="D52" s="29"/>
      <c r="E52" s="25" t="str">
        <f aca="false">IF(A52="","",LEFT(A52,7))</f>
        <v/>
      </c>
    </row>
    <row r="53" customFormat="false" ht="15" hidden="false" customHeight="false" outlineLevel="0" collapsed="false">
      <c r="A53" s="15"/>
      <c r="B53" s="15"/>
      <c r="C53" s="15"/>
      <c r="D53" s="29"/>
      <c r="E53" s="25" t="str">
        <f aca="false">IF(A53="","",LEFT(A53,7))</f>
        <v/>
      </c>
    </row>
    <row r="54" customFormat="false" ht="15" hidden="false" customHeight="false" outlineLevel="0" collapsed="false">
      <c r="A54" s="15"/>
      <c r="B54" s="15"/>
      <c r="C54" s="15"/>
      <c r="D54" s="29"/>
      <c r="E54" s="25" t="str">
        <f aca="false">IF(A54="","",LEFT(A54,7))</f>
        <v/>
      </c>
    </row>
    <row r="55" customFormat="false" ht="15" hidden="false" customHeight="false" outlineLevel="0" collapsed="false">
      <c r="A55" s="15"/>
      <c r="B55" s="15"/>
      <c r="C55" s="15"/>
      <c r="D55" s="29"/>
      <c r="E55" s="25" t="str">
        <f aca="false">IF(A55="","",LEFT(A55,7))</f>
        <v/>
      </c>
    </row>
    <row r="56" customFormat="false" ht="15" hidden="false" customHeight="false" outlineLevel="0" collapsed="false">
      <c r="A56" s="15"/>
      <c r="B56" s="15"/>
      <c r="C56" s="15"/>
      <c r="D56" s="29"/>
      <c r="E56" s="25" t="str">
        <f aca="false">IF(A56="","",LEFT(A56,7))</f>
        <v/>
      </c>
    </row>
    <row r="57" customFormat="false" ht="15" hidden="false" customHeight="false" outlineLevel="0" collapsed="false">
      <c r="A57" s="15"/>
      <c r="B57" s="15"/>
      <c r="C57" s="15"/>
      <c r="D57" s="29"/>
      <c r="E57" s="25" t="str">
        <f aca="false">IF(A57="","",LEFT(A57,7))</f>
        <v/>
      </c>
    </row>
    <row r="58" customFormat="false" ht="15" hidden="false" customHeight="false" outlineLevel="0" collapsed="false">
      <c r="A58" s="15"/>
      <c r="B58" s="15"/>
      <c r="C58" s="15"/>
      <c r="D58" s="29"/>
      <c r="E58" s="25" t="str">
        <f aca="false">IF(A58="","",LEFT(A58,7))</f>
        <v/>
      </c>
    </row>
    <row r="59" customFormat="false" ht="15" hidden="false" customHeight="false" outlineLevel="0" collapsed="false">
      <c r="A59" s="15"/>
      <c r="B59" s="15"/>
      <c r="C59" s="15"/>
      <c r="D59" s="29"/>
      <c r="E59" s="25" t="str">
        <f aca="false">IF(A59="","",LEFT(A59,7))</f>
        <v/>
      </c>
    </row>
    <row r="60" customFormat="false" ht="15" hidden="false" customHeight="false" outlineLevel="0" collapsed="false">
      <c r="A60" s="15"/>
      <c r="B60" s="15"/>
      <c r="C60" s="15"/>
      <c r="D60" s="29"/>
      <c r="E60" s="25" t="str">
        <f aca="false">IF(A60="","",LEFT(A60,7))</f>
        <v/>
      </c>
    </row>
    <row r="61" customFormat="false" ht="15" hidden="false" customHeight="false" outlineLevel="0" collapsed="false">
      <c r="A61" s="15"/>
      <c r="B61" s="15"/>
      <c r="C61" s="15"/>
      <c r="D61" s="29"/>
      <c r="E61" s="25" t="str">
        <f aca="false">IF(A61="","",LEFT(A61,7))</f>
        <v/>
      </c>
    </row>
    <row r="62" customFormat="false" ht="15" hidden="false" customHeight="false" outlineLevel="0" collapsed="false">
      <c r="A62" s="15"/>
      <c r="B62" s="15"/>
      <c r="C62" s="15"/>
      <c r="D62" s="29"/>
      <c r="E62" s="25" t="str">
        <f aca="false">IF(A62="","",LEFT(A62,7))</f>
        <v/>
      </c>
    </row>
    <row r="63" customFormat="false" ht="15" hidden="false" customHeight="false" outlineLevel="0" collapsed="false">
      <c r="A63" s="15"/>
      <c r="B63" s="15"/>
      <c r="C63" s="15"/>
      <c r="D63" s="29"/>
      <c r="E63" s="25" t="str">
        <f aca="false">IF(A63="","",LEFT(A63,7))</f>
        <v/>
      </c>
    </row>
    <row r="64" customFormat="false" ht="15" hidden="false" customHeight="false" outlineLevel="0" collapsed="false">
      <c r="A64" s="15"/>
      <c r="B64" s="15"/>
      <c r="C64" s="15"/>
      <c r="D64" s="29"/>
      <c r="E64" s="25" t="str">
        <f aca="false">IF(A64="","",LEFT(A64,7))</f>
        <v/>
      </c>
    </row>
    <row r="65" customFormat="false" ht="15" hidden="false" customHeight="false" outlineLevel="0" collapsed="false">
      <c r="A65" s="15"/>
      <c r="B65" s="15"/>
      <c r="C65" s="15"/>
      <c r="D65" s="29"/>
      <c r="E65" s="25" t="str">
        <f aca="false">IF(A65="","",LEFT(A65,7))</f>
        <v/>
      </c>
    </row>
    <row r="66" customFormat="false" ht="15" hidden="false" customHeight="false" outlineLevel="0" collapsed="false">
      <c r="A66" s="15"/>
      <c r="B66" s="15"/>
      <c r="C66" s="15"/>
      <c r="D66" s="29"/>
      <c r="E66" s="25" t="str">
        <f aca="false">IF(A66="","",LEFT(A66,7))</f>
        <v/>
      </c>
    </row>
    <row r="67" customFormat="false" ht="15" hidden="false" customHeight="false" outlineLevel="0" collapsed="false">
      <c r="A67" s="15"/>
      <c r="B67" s="15"/>
      <c r="C67" s="15"/>
      <c r="D67" s="29"/>
      <c r="E67" s="25" t="str">
        <f aca="false">IF(A67="","",LEFT(A67,7))</f>
        <v/>
      </c>
    </row>
    <row r="68" customFormat="false" ht="15" hidden="false" customHeight="false" outlineLevel="0" collapsed="false">
      <c r="A68" s="15"/>
      <c r="B68" s="15"/>
      <c r="C68" s="15"/>
      <c r="D68" s="29"/>
      <c r="E68" s="25" t="str">
        <f aca="false">IF(A68="","",LEFT(A68,7))</f>
        <v/>
      </c>
    </row>
    <row r="69" customFormat="false" ht="15" hidden="false" customHeight="false" outlineLevel="0" collapsed="false">
      <c r="A69" s="15"/>
      <c r="B69" s="15"/>
      <c r="C69" s="15"/>
      <c r="D69" s="29"/>
      <c r="E69" s="25" t="str">
        <f aca="false">IF(A69="","",LEFT(A69,7))</f>
        <v/>
      </c>
    </row>
    <row r="70" customFormat="false" ht="15" hidden="false" customHeight="false" outlineLevel="0" collapsed="false">
      <c r="A70" s="15"/>
      <c r="B70" s="15"/>
      <c r="C70" s="15"/>
      <c r="D70" s="29"/>
      <c r="E70" s="25" t="str">
        <f aca="false">IF(A70="","",LEFT(A70,7))</f>
        <v/>
      </c>
    </row>
    <row r="71" customFormat="false" ht="15" hidden="false" customHeight="false" outlineLevel="0" collapsed="false">
      <c r="A71" s="15"/>
      <c r="B71" s="15"/>
      <c r="C71" s="15"/>
      <c r="D71" s="29"/>
      <c r="E71" s="25" t="str">
        <f aca="false">IF(A71="","",LEFT(A71,7))</f>
        <v/>
      </c>
    </row>
    <row r="72" customFormat="false" ht="15" hidden="false" customHeight="false" outlineLevel="0" collapsed="false">
      <c r="A72" s="15"/>
      <c r="B72" s="15"/>
      <c r="C72" s="15"/>
      <c r="D72" s="29"/>
      <c r="E72" s="25" t="str">
        <f aca="false">IF(A72="","",LEFT(A72,7))</f>
        <v/>
      </c>
    </row>
    <row r="73" customFormat="false" ht="15" hidden="false" customHeight="false" outlineLevel="0" collapsed="false">
      <c r="A73" s="15"/>
      <c r="B73" s="15"/>
      <c r="C73" s="15"/>
      <c r="D73" s="29"/>
      <c r="E73" s="25" t="str">
        <f aca="false">IF(A73="","",LEFT(A73,7))</f>
        <v/>
      </c>
    </row>
    <row r="74" customFormat="false" ht="15" hidden="false" customHeight="false" outlineLevel="0" collapsed="false">
      <c r="A74" s="15"/>
      <c r="B74" s="15"/>
      <c r="C74" s="15"/>
      <c r="D74" s="29"/>
      <c r="E74" s="25" t="str">
        <f aca="false">IF(A74="","",LEFT(A74,7))</f>
        <v/>
      </c>
    </row>
    <row r="75" customFormat="false" ht="15" hidden="false" customHeight="false" outlineLevel="0" collapsed="false">
      <c r="A75" s="15"/>
      <c r="B75" s="15"/>
      <c r="C75" s="15"/>
      <c r="D75" s="29"/>
      <c r="E75" s="25" t="str">
        <f aca="false">IF(A75="","",LEFT(A75,7))</f>
        <v/>
      </c>
    </row>
    <row r="76" customFormat="false" ht="15" hidden="false" customHeight="false" outlineLevel="0" collapsed="false">
      <c r="A76" s="15"/>
      <c r="B76" s="15"/>
      <c r="C76" s="15"/>
      <c r="D76" s="29"/>
      <c r="E76" s="25" t="str">
        <f aca="false">IF(A76="","",LEFT(A76,7))</f>
        <v/>
      </c>
    </row>
    <row r="77" customFormat="false" ht="15" hidden="false" customHeight="false" outlineLevel="0" collapsed="false">
      <c r="A77" s="15"/>
      <c r="B77" s="15"/>
      <c r="C77" s="15"/>
      <c r="D77" s="29"/>
      <c r="E77" s="25" t="str">
        <f aca="false">IF(A77="","",LEFT(A77,7))</f>
        <v/>
      </c>
    </row>
    <row r="78" customFormat="false" ht="15" hidden="false" customHeight="false" outlineLevel="0" collapsed="false">
      <c r="A78" s="15"/>
      <c r="B78" s="15"/>
      <c r="C78" s="15"/>
      <c r="D78" s="29"/>
      <c r="E78" s="25" t="str">
        <f aca="false">IF(A78="","",LEFT(A78,7))</f>
        <v/>
      </c>
    </row>
    <row r="79" customFormat="false" ht="15" hidden="false" customHeight="false" outlineLevel="0" collapsed="false">
      <c r="A79" s="15"/>
      <c r="B79" s="15"/>
      <c r="C79" s="15"/>
      <c r="D79" s="29"/>
      <c r="E79" s="25" t="str">
        <f aca="false">IF(A79="","",LEFT(A79,7))</f>
        <v/>
      </c>
    </row>
    <row r="80" customFormat="false" ht="15" hidden="false" customHeight="false" outlineLevel="0" collapsed="false">
      <c r="A80" s="15"/>
      <c r="B80" s="15"/>
      <c r="C80" s="15"/>
      <c r="D80" s="29"/>
      <c r="E80" s="25" t="str">
        <f aca="false">IF(A80="","",LEFT(A80,7))</f>
        <v/>
      </c>
    </row>
    <row r="81" customFormat="false" ht="15" hidden="false" customHeight="false" outlineLevel="0" collapsed="false">
      <c r="A81" s="15"/>
      <c r="B81" s="15"/>
      <c r="C81" s="15"/>
      <c r="D81" s="29"/>
      <c r="E81" s="25" t="str">
        <f aca="false">IF(A81="","",LEFT(A81,7))</f>
        <v/>
      </c>
    </row>
    <row r="82" customFormat="false" ht="15" hidden="false" customHeight="false" outlineLevel="0" collapsed="false">
      <c r="A82" s="15"/>
      <c r="B82" s="15"/>
      <c r="C82" s="15"/>
      <c r="D82" s="29"/>
      <c r="E82" s="25" t="str">
        <f aca="false">IF(A82="","",LEFT(A82,7))</f>
        <v/>
      </c>
    </row>
    <row r="83" customFormat="false" ht="15" hidden="false" customHeight="false" outlineLevel="0" collapsed="false">
      <c r="A83" s="15"/>
      <c r="B83" s="15"/>
      <c r="C83" s="15"/>
      <c r="D83" s="29"/>
      <c r="E83" s="25" t="str">
        <f aca="false">IF(A83="","",LEFT(A83,7))</f>
        <v/>
      </c>
    </row>
    <row r="84" customFormat="false" ht="15" hidden="false" customHeight="false" outlineLevel="0" collapsed="false">
      <c r="A84" s="15"/>
      <c r="B84" s="15"/>
      <c r="C84" s="15"/>
      <c r="D84" s="29"/>
      <c r="E84" s="25" t="str">
        <f aca="false">IF(A84="","",LEFT(A84,7))</f>
        <v/>
      </c>
    </row>
    <row r="85" customFormat="false" ht="15" hidden="false" customHeight="false" outlineLevel="0" collapsed="false">
      <c r="A85" s="15"/>
      <c r="B85" s="15"/>
      <c r="C85" s="15"/>
      <c r="D85" s="29"/>
      <c r="E85" s="25" t="str">
        <f aca="false">IF(A85="","",LEFT(A85,7))</f>
        <v/>
      </c>
    </row>
    <row r="86" customFormat="false" ht="15" hidden="false" customHeight="false" outlineLevel="0" collapsed="false">
      <c r="A86" s="15"/>
      <c r="B86" s="15"/>
      <c r="C86" s="15"/>
      <c r="D86" s="29"/>
      <c r="E86" s="25" t="str">
        <f aca="false">IF(A86="","",LEFT(A86,7))</f>
        <v/>
      </c>
    </row>
    <row r="87" customFormat="false" ht="15" hidden="false" customHeight="false" outlineLevel="0" collapsed="false">
      <c r="A87" s="15"/>
      <c r="B87" s="15"/>
      <c r="C87" s="15"/>
      <c r="D87" s="29"/>
      <c r="E87" s="25" t="str">
        <f aca="false">IF(A87="","",LEFT(A87,7))</f>
        <v/>
      </c>
    </row>
    <row r="88" customFormat="false" ht="15" hidden="false" customHeight="false" outlineLevel="0" collapsed="false">
      <c r="A88" s="15"/>
      <c r="B88" s="15"/>
      <c r="C88" s="15"/>
      <c r="D88" s="29"/>
      <c r="E88" s="25" t="str">
        <f aca="false">IF(A88="","",LEFT(A88,7))</f>
        <v/>
      </c>
    </row>
    <row r="89" customFormat="false" ht="15" hidden="false" customHeight="false" outlineLevel="0" collapsed="false">
      <c r="A89" s="15"/>
      <c r="B89" s="15"/>
      <c r="C89" s="15"/>
      <c r="D89" s="29"/>
      <c r="E89" s="25" t="str">
        <f aca="false">IF(A89="","",LEFT(A89,7))</f>
        <v/>
      </c>
    </row>
    <row r="90" customFormat="false" ht="15" hidden="false" customHeight="false" outlineLevel="0" collapsed="false">
      <c r="A90" s="15"/>
      <c r="B90" s="15"/>
      <c r="C90" s="15"/>
      <c r="D90" s="29"/>
      <c r="E90" s="25" t="str">
        <f aca="false">IF(A90="","",LEFT(A90,7))</f>
        <v/>
      </c>
    </row>
    <row r="91" customFormat="false" ht="15" hidden="false" customHeight="false" outlineLevel="0" collapsed="false">
      <c r="A91" s="15"/>
      <c r="B91" s="15"/>
      <c r="C91" s="15"/>
      <c r="D91" s="29"/>
      <c r="E91" s="25" t="str">
        <f aca="false">IF(A91="","",LEFT(A91,7))</f>
        <v/>
      </c>
    </row>
    <row r="92" customFormat="false" ht="15" hidden="false" customHeight="false" outlineLevel="0" collapsed="false">
      <c r="A92" s="15"/>
      <c r="B92" s="15"/>
      <c r="C92" s="15"/>
      <c r="D92" s="29"/>
      <c r="E92" s="25" t="str">
        <f aca="false">IF(A92="","",LEFT(A92,7))</f>
        <v/>
      </c>
    </row>
    <row r="93" customFormat="false" ht="15" hidden="false" customHeight="false" outlineLevel="0" collapsed="false">
      <c r="A93" s="15"/>
      <c r="B93" s="15"/>
      <c r="C93" s="15"/>
      <c r="D93" s="29"/>
      <c r="E93" s="25" t="str">
        <f aca="false">IF(A93="","",LEFT(A93,7))</f>
        <v/>
      </c>
    </row>
    <row r="94" customFormat="false" ht="15" hidden="false" customHeight="false" outlineLevel="0" collapsed="false">
      <c r="A94" s="15"/>
      <c r="B94" s="15"/>
      <c r="C94" s="15"/>
      <c r="D94" s="29"/>
      <c r="E94" s="25" t="str">
        <f aca="false">IF(A94="","",LEFT(A94,7))</f>
        <v/>
      </c>
    </row>
    <row r="95" customFormat="false" ht="15" hidden="false" customHeight="false" outlineLevel="0" collapsed="false">
      <c r="A95" s="15"/>
      <c r="B95" s="15"/>
      <c r="C95" s="15"/>
      <c r="D95" s="29"/>
      <c r="E95" s="25" t="str">
        <f aca="false">IF(A95="","",LEFT(A95,7))</f>
        <v/>
      </c>
    </row>
    <row r="96" customFormat="false" ht="15" hidden="false" customHeight="false" outlineLevel="0" collapsed="false">
      <c r="A96" s="15"/>
      <c r="B96" s="15"/>
      <c r="C96" s="15"/>
      <c r="D96" s="29"/>
      <c r="E96" s="25" t="str">
        <f aca="false">IF(A96="","",LEFT(A96,7))</f>
        <v/>
      </c>
    </row>
    <row r="97" customFormat="false" ht="15" hidden="false" customHeight="false" outlineLevel="0" collapsed="false">
      <c r="A97" s="15"/>
      <c r="B97" s="15"/>
      <c r="C97" s="15"/>
      <c r="D97" s="29"/>
      <c r="E97" s="25" t="str">
        <f aca="false">IF(A97="","",LEFT(A97,7))</f>
        <v/>
      </c>
    </row>
    <row r="98" customFormat="false" ht="15" hidden="false" customHeight="false" outlineLevel="0" collapsed="false">
      <c r="A98" s="15"/>
      <c r="B98" s="15"/>
      <c r="C98" s="15"/>
      <c r="D98" s="29"/>
      <c r="E98" s="25" t="str">
        <f aca="false">IF(A98="","",LEFT(A98,7))</f>
        <v/>
      </c>
    </row>
    <row r="99" customFormat="false" ht="15" hidden="false" customHeight="false" outlineLevel="0" collapsed="false">
      <c r="A99" s="15"/>
      <c r="B99" s="15"/>
      <c r="C99" s="15"/>
      <c r="D99" s="29"/>
      <c r="E99" s="25" t="str">
        <f aca="false">IF(A99="","",LEFT(A99,7))</f>
        <v/>
      </c>
    </row>
    <row r="100" customFormat="false" ht="15" hidden="false" customHeight="false" outlineLevel="0" collapsed="false">
      <c r="A100" s="15"/>
      <c r="B100" s="15"/>
      <c r="C100" s="15"/>
      <c r="D100" s="29"/>
      <c r="E100" s="25" t="str">
        <f aca="false">IF(A100="","",LEFT(A100,7))</f>
        <v/>
      </c>
    </row>
    <row r="101" customFormat="false" ht="15" hidden="false" customHeight="false" outlineLevel="0" collapsed="false">
      <c r="A101" s="15"/>
      <c r="B101" s="15"/>
      <c r="C101" s="15"/>
      <c r="D101" s="29"/>
      <c r="E101" s="25" t="str">
        <f aca="false">IF(A101="","",LEFT(A101,7))</f>
        <v/>
      </c>
    </row>
    <row r="102" customFormat="false" ht="15" hidden="false" customHeight="false" outlineLevel="0" collapsed="false">
      <c r="A102" s="15"/>
      <c r="B102" s="15"/>
      <c r="C102" s="15"/>
      <c r="D102" s="29"/>
      <c r="E102" s="25" t="str">
        <f aca="false">IF(A102="","",LEFT(A102,7))</f>
        <v/>
      </c>
    </row>
    <row r="103" customFormat="false" ht="15" hidden="false" customHeight="false" outlineLevel="0" collapsed="false">
      <c r="A103" s="15"/>
      <c r="B103" s="15"/>
      <c r="C103" s="15"/>
      <c r="D103" s="29"/>
      <c r="E103" s="25" t="str">
        <f aca="false">IF(A103="","",LEFT(A103,7))</f>
        <v/>
      </c>
    </row>
    <row r="104" customFormat="false" ht="15" hidden="false" customHeight="false" outlineLevel="0" collapsed="false">
      <c r="A104" s="15"/>
      <c r="B104" s="15"/>
      <c r="C104" s="15"/>
      <c r="D104" s="29"/>
      <c r="E104" s="25" t="str">
        <f aca="false">IF(A104="","",LEFT(A104,7))</f>
        <v/>
      </c>
    </row>
    <row r="105" customFormat="false" ht="15" hidden="false" customHeight="false" outlineLevel="0" collapsed="false">
      <c r="A105" s="15"/>
      <c r="B105" s="15"/>
      <c r="C105" s="15"/>
      <c r="D105" s="29"/>
      <c r="E105" s="25" t="str">
        <f aca="false">IF(A105="","",LEFT(A105,7))</f>
        <v/>
      </c>
    </row>
    <row r="106" customFormat="false" ht="15" hidden="false" customHeight="false" outlineLevel="0" collapsed="false">
      <c r="A106" s="15"/>
      <c r="B106" s="15"/>
      <c r="C106" s="15"/>
      <c r="D106" s="29"/>
      <c r="E106" s="25" t="str">
        <f aca="false">IF(A106="","",LEFT(A106,7))</f>
        <v/>
      </c>
    </row>
    <row r="107" customFormat="false" ht="15" hidden="false" customHeight="false" outlineLevel="0" collapsed="false">
      <c r="A107" s="15"/>
      <c r="B107" s="15"/>
      <c r="C107" s="15"/>
      <c r="D107" s="29"/>
      <c r="E107" s="25" t="str">
        <f aca="false">IF(A107="","",LEFT(A107,7))</f>
        <v/>
      </c>
    </row>
    <row r="108" customFormat="false" ht="15" hidden="false" customHeight="false" outlineLevel="0" collapsed="false">
      <c r="A108" s="15"/>
      <c r="B108" s="15"/>
      <c r="C108" s="15"/>
      <c r="D108" s="29"/>
      <c r="E108" s="25" t="str">
        <f aca="false">IF(A108="","",LEFT(A108,7))</f>
        <v/>
      </c>
    </row>
    <row r="109" customFormat="false" ht="15" hidden="false" customHeight="false" outlineLevel="0" collapsed="false">
      <c r="A109" s="15"/>
      <c r="B109" s="15"/>
      <c r="C109" s="15"/>
      <c r="D109" s="29"/>
      <c r="E109" s="25" t="str">
        <f aca="false">IF(A109="","",LEFT(A109,7))</f>
        <v/>
      </c>
    </row>
    <row r="110" customFormat="false" ht="15" hidden="false" customHeight="false" outlineLevel="0" collapsed="false">
      <c r="A110" s="15"/>
      <c r="B110" s="15"/>
      <c r="C110" s="15"/>
      <c r="D110" s="29"/>
      <c r="E110" s="25" t="str">
        <f aca="false">IF(A110="","",LEFT(A110,7))</f>
        <v/>
      </c>
    </row>
    <row r="111" customFormat="false" ht="15" hidden="false" customHeight="false" outlineLevel="0" collapsed="false">
      <c r="A111" s="15"/>
      <c r="B111" s="15"/>
      <c r="C111" s="15"/>
      <c r="D111" s="29"/>
      <c r="E111" s="25" t="str">
        <f aca="false">IF(A111="","",LEFT(A111,7))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2026-09-18T06:47:52Z</dcterms:created>
  <dc:creator>openpyxl</dc:creator>
  <dc:description/>
  <dc:language>en-US</dc:language>
  <cp:lastModifiedBy/>
  <dcterms:modified xsi:type="dcterms:W3CDTF">2026-09-18T06:47:53Z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