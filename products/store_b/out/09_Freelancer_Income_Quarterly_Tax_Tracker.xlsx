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Quarterly" sheetId="3" state="visible" r:id="rId5"/>
    <sheet name="Settings" sheetId="4" state="visible" r:id="rId6"/>
    <sheet name="Income" sheetId="5" state="visible" r:id="rId7"/>
    <sheet name="Expens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<sst xmlns="http://schemas.openxmlformats.org/spreadsheetml/2006/main" count="234" uniqueCount="162">
  <si>
    <t xml:space="preserve">Freelancer Income, Expense &amp; Quarterly Tax Tracker</t>
  </si>
  <si>
    <t xml:space="preserve">Simple Sheets Co. — Excel + Google Sheets</t>
  </si>
  <si>
    <t xml:space="preserve">Setup</t>
  </si>
  <si>
    <t xml:space="preserve">1. Income tab: every invoice or payout (client, amount, date, paid?).</t>
  </si>
  <si>
    <t xml:space="preserve">2. Expenses tab: deductible business costs by category.</t>
  </si>
  <si>
    <t xml:space="preserve">3. Quarterly tab: net profit per US quarter, self-employment tax estimate, and an income-tax set-aside using your rate. Federal quarterly due dates are listed.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</si>
  <si>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</si>
  <si>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</si>
  <si>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</si>
  <si>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</si>
  <si>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</si>
  <si>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• Self-employment tax uses 15.3% on 92.35% of net profit (2026 rules may differ; this is an estimate for set-aside, not a tax return).</t>
  </si>
  <si>
    <t xml:space="preserve">For planning and educational use only. Not financial, legal, or tax advice. Every number is an estimate you should verify for your own business.</t>
  </si>
  <si>
    <t xml:space="preserve">Freelance Dashboard</t>
  </si>
  <si>
    <t xml:space="preserve">Income, expenses and what to set aside for taxes.</t>
  </si>
  <si>
    <t xml:space="preserve">INCOME (PAID, YTD)</t>
  </si>
  <si>
    <t xml:space="preserve">UNPAID INVOICES</t>
  </si>
  <si>
    <t xml:space="preserve">EXPENSES (YTD)</t>
  </si>
  <si>
    <t xml:space="preserve">NET PROFIT (YTD)</t>
  </si>
  <si>
    <t xml:space="preserve">SET ASIDE FOR TAXES</t>
  </si>
  <si>
    <t xml:space="preserve">SET-ASIDE RATE</t>
  </si>
  <si>
    <t xml:space="preserve">PROFIT MARGIN</t>
  </si>
  <si>
    <t xml:space="preserve">Quarterly Summary &amp; Tax Set-Aside</t>
  </si>
  <si>
    <t xml:space="preserve">Estimates only.</t>
  </si>
  <si>
    <t xml:space="preserve">Quarter</t>
  </si>
  <si>
    <t xml:space="preserve">Federal est. payment due</t>
  </si>
  <si>
    <t xml:space="preserve">Income (paid)</t>
  </si>
  <si>
    <t xml:space="preserve">Income (unpaid)</t>
  </si>
  <si>
    <t xml:space="preserve">Expenses</t>
  </si>
  <si>
    <t xml:space="preserve">Net profit</t>
  </si>
  <si>
    <t xml:space="preserve">SE tax est.</t>
  </si>
  <si>
    <t xml:space="preserve">Income tax set-aside</t>
  </si>
  <si>
    <t xml:space="preserve">Total set-aside</t>
  </si>
  <si>
    <t xml:space="preserve">Set-aside % of net</t>
  </si>
  <si>
    <t xml:space="preserve">Q1</t>
  </si>
  <si>
    <t xml:space="preserve">April 15</t>
  </si>
  <si>
    <t xml:space="preserve">Q2</t>
  </si>
  <si>
    <t xml:space="preserve">June 15</t>
  </si>
  <si>
    <t xml:space="preserve">Q3</t>
  </si>
  <si>
    <t xml:space="preserve">September 15</t>
  </si>
  <si>
    <t xml:space="preserve">Q4</t>
  </si>
  <si>
    <t xml:space="preserve">January 15 (next yr)</t>
  </si>
  <si>
    <t xml:space="preserve">YEAR</t>
  </si>
  <si>
    <t xml:space="preserve">Income tax set-aside applies your rate to net profit minus half of SE tax (the deductible half). Talk to a tax professional for actual estimated payments.</t>
  </si>
  <si>
    <t xml:space="preserve">Settings</t>
  </si>
  <si>
    <t xml:space="preserve">How to use: type your numbers in the yellow cells (blue text). Everything else calculates.</t>
  </si>
  <si>
    <t xml:space="preserve">Federal + state income tax rate (marginal, for set-aside)</t>
  </si>
  <si>
    <t xml:space="preserve">Self-employment tax rate</t>
  </si>
  <si>
    <t xml:space="preserve">Portion of profit subject to SE tax</t>
  </si>
  <si>
    <t xml:space="preserve">Income</t>
  </si>
  <si>
    <t xml:space="preserve">Date</t>
  </si>
  <si>
    <t xml:space="preserve">Client</t>
  </si>
  <si>
    <t xml:space="preserve">Description</t>
  </si>
  <si>
    <t xml:space="preserve">Amount</t>
  </si>
  <si>
    <t xml:space="preserve">Paid? (Y)</t>
  </si>
  <si>
    <t xml:space="preserve">2026-01-16</t>
  </si>
  <si>
    <t xml:space="preserve">Acme Co.</t>
  </si>
  <si>
    <t xml:space="preserve">Invoice 1040</t>
  </si>
  <si>
    <t xml:space="preserve">Y</t>
  </si>
  <si>
    <t xml:space="preserve">2026-01-26</t>
  </si>
  <si>
    <t xml:space="preserve">Bluebird Studio</t>
  </si>
  <si>
    <t xml:space="preserve">Invoice 1041</t>
  </si>
  <si>
    <t xml:space="preserve">2026-02-07</t>
  </si>
  <si>
    <t xml:space="preserve">Invoice 1042</t>
  </si>
  <si>
    <t xml:space="preserve">2026-02-13</t>
  </si>
  <si>
    <t xml:space="preserve">Invoice 1043</t>
  </si>
  <si>
    <t xml:space="preserve">2026-02-24</t>
  </si>
  <si>
    <t xml:space="preserve">Invoice 1044</t>
  </si>
  <si>
    <t xml:space="preserve">2026-03-07</t>
  </si>
  <si>
    <t xml:space="preserve">Northwind</t>
  </si>
  <si>
    <t xml:space="preserve">Invoice 1045</t>
  </si>
  <si>
    <t xml:space="preserve">2026-03-15</t>
  </si>
  <si>
    <t xml:space="preserve">Invoice 1046</t>
  </si>
  <si>
    <t xml:space="preserve">2026-03-23</t>
  </si>
  <si>
    <t xml:space="preserve">Invoice 1047</t>
  </si>
  <si>
    <t xml:space="preserve">2026-04-02</t>
  </si>
  <si>
    <t xml:space="preserve">Invoice 1048</t>
  </si>
  <si>
    <t xml:space="preserve">2026-04-12</t>
  </si>
  <si>
    <t xml:space="preserve">Invoice 1049</t>
  </si>
  <si>
    <t xml:space="preserve">2026-04-20</t>
  </si>
  <si>
    <t xml:space="preserve">Invoice 1050</t>
  </si>
  <si>
    <t xml:space="preserve">2026-04-28</t>
  </si>
  <si>
    <t xml:space="preserve">Invoice 1051</t>
  </si>
  <si>
    <t xml:space="preserve">2026-05-07</t>
  </si>
  <si>
    <t xml:space="preserve">Riverside Dental</t>
  </si>
  <si>
    <t xml:space="preserve">Invoice 1052</t>
  </si>
  <si>
    <t xml:space="preserve">2026-05-18</t>
  </si>
  <si>
    <t xml:space="preserve">Invoice 1053</t>
  </si>
  <si>
    <t xml:space="preserve">2026-05-25</t>
  </si>
  <si>
    <t xml:space="preserve">Invoice 1054</t>
  </si>
  <si>
    <t xml:space="preserve">2026-05-30</t>
  </si>
  <si>
    <t xml:space="preserve">Invoice 1055</t>
  </si>
  <si>
    <t xml:space="preserve">2026-06-09</t>
  </si>
  <si>
    <t xml:space="preserve">Invoice 1056</t>
  </si>
  <si>
    <t xml:space="preserve">2026-06-19</t>
  </si>
  <si>
    <t xml:space="preserve">Invoice 1057</t>
  </si>
  <si>
    <t xml:space="preserve">2026-07-01</t>
  </si>
  <si>
    <t xml:space="preserve">Invoice 1058</t>
  </si>
  <si>
    <t xml:space="preserve">2026-07-06</t>
  </si>
  <si>
    <t xml:space="preserve">Invoice 1059</t>
  </si>
  <si>
    <t xml:space="preserve">2026-07-14</t>
  </si>
  <si>
    <t xml:space="preserve">Invoice 1060</t>
  </si>
  <si>
    <t xml:space="preserve">2026-07-22</t>
  </si>
  <si>
    <t xml:space="preserve">Invoice 1061</t>
  </si>
  <si>
    <t xml:space="preserve">2026-07-31</t>
  </si>
  <si>
    <t xml:space="preserve">Invoice 1062</t>
  </si>
  <si>
    <t xml:space="preserve">2026-08-05</t>
  </si>
  <si>
    <t xml:space="preserve">Invoice 1063</t>
  </si>
  <si>
    <t xml:space="preserve">2026-08-11</t>
  </si>
  <si>
    <t xml:space="preserve">Invoice 1064</t>
  </si>
  <si>
    <t xml:space="preserve">2026-08-22</t>
  </si>
  <si>
    <t xml:space="preserve">Invoice 1065</t>
  </si>
  <si>
    <t xml:space="preserve">2026-09-01</t>
  </si>
  <si>
    <t xml:space="preserve">Invoice 1066</t>
  </si>
  <si>
    <t xml:space="preserve">2026-09-11</t>
  </si>
  <si>
    <t xml:space="preserve">Invoice 1067</t>
  </si>
  <si>
    <t xml:space="preserve">2026-09-19</t>
  </si>
  <si>
    <t xml:space="preserve">Invoice 1068</t>
  </si>
  <si>
    <t xml:space="preserve">2026-10-01</t>
  </si>
  <si>
    <t xml:space="preserve">Invoice 1069</t>
  </si>
  <si>
    <t xml:space="preserve">Category</t>
  </si>
  <si>
    <t xml:space="preserve">2026-01-01</t>
  </si>
  <si>
    <t xml:space="preserve">Travel</t>
  </si>
  <si>
    <t xml:space="preserve">Expense 1</t>
  </si>
  <si>
    <t xml:space="preserve">2026-01-08</t>
  </si>
  <si>
    <t xml:space="preserve">Marketing</t>
  </si>
  <si>
    <t xml:space="preserve">Expense 2</t>
  </si>
  <si>
    <t xml:space="preserve">2026-01-15</t>
  </si>
  <si>
    <t xml:space="preserve">Software</t>
  </si>
  <si>
    <t xml:space="preserve">Expense 3</t>
  </si>
  <si>
    <t xml:space="preserve">2026-02-22</t>
  </si>
  <si>
    <t xml:space="preserve">Expense 4</t>
  </si>
  <si>
    <t xml:space="preserve">2026-02-02</t>
  </si>
  <si>
    <t xml:space="preserve">Expense 5</t>
  </si>
  <si>
    <t xml:space="preserve">2026-03-09</t>
  </si>
  <si>
    <t xml:space="preserve">Professional services</t>
  </si>
  <si>
    <t xml:space="preserve">Expense 6</t>
  </si>
  <si>
    <t xml:space="preserve">2026-03-16</t>
  </si>
  <si>
    <t xml:space="preserve">Expense 7</t>
  </si>
  <si>
    <t xml:space="preserve">2026-04-23</t>
  </si>
  <si>
    <t xml:space="preserve">Home office</t>
  </si>
  <si>
    <t xml:space="preserve">Expense 8</t>
  </si>
  <si>
    <t xml:space="preserve">2026-04-03</t>
  </si>
  <si>
    <t xml:space="preserve">Expense 9</t>
  </si>
  <si>
    <t xml:space="preserve">2026-05-10</t>
  </si>
  <si>
    <t xml:space="preserve">Equipment</t>
  </si>
  <si>
    <t xml:space="preserve">Expense 10</t>
  </si>
  <si>
    <t xml:space="preserve">2026-05-17</t>
  </si>
  <si>
    <t xml:space="preserve">Expense 11</t>
  </si>
  <si>
    <t xml:space="preserve">2026-06-24</t>
  </si>
  <si>
    <t xml:space="preserve">Expense 12</t>
  </si>
  <si>
    <t xml:space="preserve">2026-06-04</t>
  </si>
  <si>
    <t xml:space="preserve">Expense 13</t>
  </si>
  <si>
    <t xml:space="preserve">2026-07-11</t>
  </si>
  <si>
    <t xml:space="preserve">Expense 14</t>
  </si>
  <si>
    <t xml:space="preserve">2026-07-18</t>
  </si>
  <si>
    <t xml:space="preserve">Expense 15</t>
  </si>
  <si>
    <t xml:space="preserve">2026-08-25</t>
  </si>
  <si>
    <t xml:space="preserve">Expense 16</t>
  </si>
  <si>
    <t xml:space="preserve">Expense 17</t>
  </si>
  <si>
    <t xml:space="preserve">2026-09-12</t>
  </si>
  <si>
    <t xml:space="preserve">Expense 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</si>
</sst>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B23B3B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  <fill>
      <patternFill patternType="solid">
        <fgColor rgb="FFE7E6E6"/>
        <bgColor rgb="FFF4F1EC"/>
      </patternFill>
    </fill>
    <fill>
      <patternFill patternType="solid">
        <fgColor rgb="FFFFE9A8"/>
        <bgColor rgb="FFFBF6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B23B3B"/>
      <rgbColor rgb="FFFBF6E9"/>
      <rgbColor rgb="FFF4F1EC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9A8"/>
      <rgbColor rgb="FF99CCFF"/>
      <rgbColor rgb="FFFF99CC"/>
      <rgbColor rgb="FFCC99FF"/>
      <rgbColor rgb="FFD9D4CC"/>
      <rgbColor rgb="FF3366FF"/>
      <rgbColor rgb="FF33CCCC"/>
      <rgbColor rgb="FF99CC00"/>
      <rgbColor rgb="FFFFCC00"/>
      <rgbColor rgb="FFFF9900"/>
      <rgbColor rgb="FFFF6600"/>
      <rgbColor rgb="FF666666"/>
      <rgbColor rgb="FF6B7A7C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vs. expenses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Quarterly!C4</c:f>
              <c:strCache>
                <c:ptCount val="1"/>
                <c:pt idx="0">
                  <c:v>Income (paid)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Quarterly!$A$5:$A$8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Quarterly!$C$5:$C$8</c:f>
              <c:numCache>
                <c:formatCode>\$#,##0;"($"#,##0\);\-</c:formatCode>
                <c:ptCount val="4"/>
                <c:pt idx="0">
                  <c:v>11000</c:v>
                </c:pt>
                <c:pt idx="1">
                  <c:v>9100</c:v>
                </c:pt>
                <c:pt idx="2">
                  <c:v>8900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Quarterly!E4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7813f"/>
            </a:solidFill>
            <a:ln w="9360">
              <a:solidFill>
                <a:srgbClr val="c7813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Quarterly!$A$5:$A$8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Quarterly!$E$5:$E$8</c:f>
              <c:numCache>
                <c:formatCode>\$#,##0;"($"#,##0\);\-</c:formatCode>
                <c:ptCount val="4"/>
                <c:pt idx="0">
                  <c:v>1618</c:v>
                </c:pt>
                <c:pt idx="1">
                  <c:v>1318</c:v>
                </c:pt>
                <c:pt idx="2">
                  <c:v>387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8164798"/>
        <c:axId val="65058215"/>
      </c:barChart>
      <c:catAx>
        <c:axId val="58164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58215"/>
        <c:crosses val="autoZero"/>
        <c:auto val="1"/>
        <c:lblAlgn val="ctr"/>
        <c:lblOffset val="100"/>
        <c:noMultiLvlLbl val="0"/>
      </c:catAx>
      <c:valAx>
        <c:axId val="65058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647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 set-aside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Quarterly!I4</c:f>
              <c:strCache>
                <c:ptCount val="1"/>
                <c:pt idx="0">
                  <c:v>Total set-aside</c:v>
                </c:pt>
              </c:strCache>
            </c:strRef>
          </c:tx>
          <c:spPr>
            <a:solidFill>
              <a:srgbClr val="c7813f"/>
            </a:solidFill>
            <a:ln w="9360">
              <a:solidFill>
                <a:srgbClr val="c7813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Quarterly!$A$5:$A$8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Quarterly!$I$5:$I$8</c:f>
              <c:numCache>
                <c:formatCode>\$#,##0;"($"#,##0\);\-</c:formatCode>
                <c:ptCount val="4"/>
                <c:pt idx="0">
                  <c:v>3418.23825528</c:v>
                </c:pt>
                <c:pt idx="1">
                  <c:v>2835.29419128</c:v>
                </c:pt>
                <c:pt idx="2">
                  <c:v>3101.62676052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5630806"/>
        <c:axId val="3825702"/>
      </c:barChart>
      <c:catAx>
        <c:axId val="15630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5702"/>
        <c:crosses val="autoZero"/>
        <c:auto val="1"/>
        <c:lblAlgn val="ctr"/>
        <c:lblOffset val="100"/>
        <c:noMultiLvlLbl val="0"/>
      </c:catAx>
      <c:valAx>
        <c:axId val="3825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308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70560</xdr:rowOff>
    </xdr:from>
    <xdr:to>
      <xdr:col>6</xdr:col>
      <xdr:colOff>701280</xdr:colOff>
      <xdr:row>26</xdr:row>
      <xdr:rowOff>92880</xdr:rowOff>
    </xdr:to>
    <xdr:graphicFrame>
      <xdr:nvGraphicFramePr>
        <xdr:cNvPr id="0" name="Chart 1"/>
        <xdr:cNvGraphicFramePr/>
      </xdr:nvGraphicFramePr>
      <xdr:xfrm>
        <a:off x="266760" y="24004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70200</xdr:rowOff>
    </xdr:from>
    <xdr:to>
      <xdr:col>6</xdr:col>
      <xdr:colOff>701280</xdr:colOff>
      <xdr:row>43</xdr:row>
      <xdr:rowOff>92520</xdr:rowOff>
    </xdr:to>
    <xdr:graphicFrame>
      <xdr:nvGraphicFramePr>
        <xdr:cNvPr id="1" name="Chart 2"/>
        <xdr:cNvGraphicFramePr/>
      </xdr:nvGraphicFramePr>
      <xdr:xfrm>
        <a:off x="266760" y="5638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13</v>
      </c>
    </row>
    <row r="3" customFormat="false" ht="15" hidden="false" customHeight="false" outlineLevel="0" collapsed="false">
      <c r="B3" s="6" t="s">
        <v>14</v>
      </c>
    </row>
    <row r="5" customFormat="false" ht="15.75" hidden="false" customHeight="true" outlineLevel="0" collapsed="false">
      <c r="B5" s="7" t="s">
        <v>15</v>
      </c>
      <c r="C5" s="7"/>
      <c r="D5" s="7"/>
      <c r="E5" s="7" t="s">
        <v>16</v>
      </c>
      <c r="F5" s="7"/>
      <c r="G5" s="7"/>
      <c r="H5" s="7" t="s">
        <v>17</v>
      </c>
      <c r="I5" s="7"/>
      <c r="J5" s="7"/>
      <c r="K5" s="7" t="s">
        <v>18</v>
      </c>
      <c r="L5" s="7"/>
      <c r="M5" s="7"/>
    </row>
    <row r="6" customFormat="false" ht="21.75" hidden="false" customHeight="true" outlineLevel="0" collapsed="false">
      <c r="B6" s="8" t="n">
        <f aca="false">Quarterly!C9</f>
        <v>29000</v>
      </c>
      <c r="C6" s="8"/>
      <c r="D6" s="8"/>
      <c r="E6" s="9" t="n">
        <f aca="false">Quarterly!D9</f>
        <v>3950</v>
      </c>
      <c r="F6" s="9"/>
      <c r="G6" s="9"/>
      <c r="H6" s="8" t="n">
        <f aca="false">Quarterly!E9</f>
        <v>3323</v>
      </c>
      <c r="I6" s="8"/>
      <c r="J6" s="8"/>
      <c r="K6" s="10" t="n">
        <f aca="false">Quarterly!F9</f>
        <v>25677</v>
      </c>
      <c r="L6" s="10"/>
      <c r="M6" s="10"/>
    </row>
    <row r="7" customFormat="false" ht="12" hidden="false" customHeight="true" outlineLevel="0" collapsed="false">
      <c r="B7" s="8"/>
      <c r="C7" s="8"/>
      <c r="D7" s="8"/>
      <c r="E7" s="9"/>
      <c r="F7" s="9"/>
      <c r="G7" s="9"/>
      <c r="H7" s="8"/>
      <c r="I7" s="8"/>
      <c r="J7" s="8"/>
      <c r="K7" s="10"/>
      <c r="L7" s="10"/>
      <c r="M7" s="10"/>
    </row>
    <row r="9" customFormat="false" ht="15.75" hidden="false" customHeight="true" outlineLevel="0" collapsed="false">
      <c r="B9" s="7" t="s">
        <v>19</v>
      </c>
      <c r="C9" s="7"/>
      <c r="D9" s="7"/>
      <c r="E9" s="7" t="s">
        <v>20</v>
      </c>
      <c r="F9" s="7"/>
      <c r="G9" s="7"/>
      <c r="H9" s="7" t="s">
        <v>21</v>
      </c>
      <c r="I9" s="7"/>
      <c r="J9" s="7"/>
    </row>
    <row r="10" customFormat="false" ht="21.75" hidden="false" customHeight="true" outlineLevel="0" collapsed="false">
      <c r="B10" s="10" t="n">
        <f aca="false">Quarterly!I9</f>
        <v>9355.15920708</v>
      </c>
      <c r="C10" s="10"/>
      <c r="D10" s="10"/>
      <c r="E10" s="11" t="n">
        <f aca="false">Quarterly!J9</f>
        <v>0.36434004</v>
      </c>
      <c r="F10" s="11"/>
      <c r="G10" s="11"/>
      <c r="H10" s="11" t="n">
        <f aca="false">IF(Quarterly!C9=0,0,Quarterly!F9/Quarterly!C9)</f>
        <v>0.885413793103448</v>
      </c>
      <c r="I10" s="11"/>
      <c r="J10" s="11"/>
    </row>
    <row r="11" customFormat="false" ht="12" hidden="false" customHeight="true" outlineLevel="0" collapsed="false">
      <c r="B11" s="10"/>
      <c r="C11" s="10"/>
      <c r="D11" s="10"/>
      <c r="E11" s="11"/>
      <c r="F11" s="11"/>
      <c r="G11" s="11"/>
      <c r="H11" s="11"/>
      <c r="I11" s="11"/>
      <c r="J11" s="11"/>
    </row>
  </sheetData>
  <mergeCells count="14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B10:D11"/>
    <mergeCell ref="E10:G11"/>
    <mergeCell ref="H10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0" hidden="false" customHeight="true" outlineLevel="0" collapsed="false">
      <c r="A4" s="12" t="s">
        <v>24</v>
      </c>
      <c r="B4" s="12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</row>
    <row r="5" customFormat="false" ht="15" hidden="false" customHeight="false" outlineLevel="0" collapsed="false">
      <c r="A5" s="13" t="s">
        <v>34</v>
      </c>
      <c r="B5" s="14" t="s">
        <v>35</v>
      </c>
      <c r="C5" s="15" t="n">
        <f aca="false">SUMIFS(Income!$D$5:$D$154,Income!$F$5:$F$154,A5,Income!$E$5:$E$154,"Y")</f>
        <v>11000</v>
      </c>
      <c r="D5" s="15" t="n">
        <f aca="false">SUMIFS(Income!$D$5:$D$154,Income!$F$5:$F$154,A5)-C5</f>
        <v>0</v>
      </c>
      <c r="E5" s="15" t="n">
        <f aca="false">SUMIF(Expenses!$E$5:$E$142,A5,Expenses!$D$5:$D$142)</f>
        <v>1618</v>
      </c>
      <c r="F5" s="16" t="n">
        <f aca="false">C5-E5</f>
        <v>9382</v>
      </c>
      <c r="G5" s="15" t="n">
        <f aca="false">MAX(0,F5)*Settings!$B$6*Settings!$B$5</f>
        <v>1325.634381</v>
      </c>
      <c r="H5" s="15" t="n">
        <f aca="false">MAX(0,F5-G5/2)*Settings!$B$4</f>
        <v>2092.60387428</v>
      </c>
      <c r="I5" s="17" t="n">
        <f aca="false">G5+H5</f>
        <v>3418.23825528</v>
      </c>
      <c r="J5" s="18" t="n">
        <f aca="false">IF(F5&lt;=0,0,I5/F5)</f>
        <v>0.36434004</v>
      </c>
    </row>
    <row r="6" customFormat="false" ht="15" hidden="false" customHeight="false" outlineLevel="0" collapsed="false">
      <c r="A6" s="13" t="s">
        <v>36</v>
      </c>
      <c r="B6" s="14" t="s">
        <v>37</v>
      </c>
      <c r="C6" s="15" t="n">
        <f aca="false">SUMIFS(Income!$D$5:$D$154,Income!$F$5:$F$154,A6,Income!$E$5:$E$154,"Y")</f>
        <v>9100</v>
      </c>
      <c r="D6" s="15" t="n">
        <f aca="false">SUMIFS(Income!$D$5:$D$154,Income!$F$5:$F$154,A6)-C6</f>
        <v>0</v>
      </c>
      <c r="E6" s="15" t="n">
        <f aca="false">SUMIF(Expenses!$E$5:$E$142,A6,Expenses!$D$5:$D$142)</f>
        <v>1318</v>
      </c>
      <c r="F6" s="16" t="n">
        <f aca="false">C6-E6</f>
        <v>7782</v>
      </c>
      <c r="G6" s="15" t="n">
        <f aca="false">MAX(0,F6)*Settings!$B$6*Settings!$B$5</f>
        <v>1099.561581</v>
      </c>
      <c r="H6" s="15" t="n">
        <f aca="false">MAX(0,F6-G6/2)*Settings!$B$4</f>
        <v>1735.73261028</v>
      </c>
      <c r="I6" s="17" t="n">
        <f aca="false">G6+H6</f>
        <v>2835.29419128</v>
      </c>
      <c r="J6" s="18" t="n">
        <f aca="false">IF(F6&lt;=0,0,I6/F6)</f>
        <v>0.36434004</v>
      </c>
    </row>
    <row r="7" customFormat="false" ht="15" hidden="false" customHeight="false" outlineLevel="0" collapsed="false">
      <c r="A7" s="13" t="s">
        <v>38</v>
      </c>
      <c r="B7" s="14" t="s">
        <v>39</v>
      </c>
      <c r="C7" s="15" t="n">
        <f aca="false">SUMIFS(Income!$D$5:$D$154,Income!$F$5:$F$154,A7,Income!$E$5:$E$154,"Y")</f>
        <v>8900</v>
      </c>
      <c r="D7" s="15" t="n">
        <f aca="false">SUMIFS(Income!$D$5:$D$154,Income!$F$5:$F$154,A7)-C7</f>
        <v>2750</v>
      </c>
      <c r="E7" s="15" t="n">
        <f aca="false">SUMIF(Expenses!$E$5:$E$142,A7,Expenses!$D$5:$D$142)</f>
        <v>387</v>
      </c>
      <c r="F7" s="16" t="n">
        <f aca="false">C7-E7</f>
        <v>8513</v>
      </c>
      <c r="G7" s="15" t="n">
        <f aca="false">MAX(0,F7)*Settings!$B$6*Settings!$B$5</f>
        <v>1202.8485915</v>
      </c>
      <c r="H7" s="15" t="n">
        <f aca="false">MAX(0,F7-G7/2)*Settings!$B$4</f>
        <v>1898.77816902</v>
      </c>
      <c r="I7" s="17" t="n">
        <f aca="false">G7+H7</f>
        <v>3101.62676052</v>
      </c>
      <c r="J7" s="18" t="n">
        <f aca="false">IF(F7&lt;=0,0,I7/F7)</f>
        <v>0.36434004</v>
      </c>
    </row>
    <row r="8" customFormat="false" ht="15" hidden="false" customHeight="false" outlineLevel="0" collapsed="false">
      <c r="A8" s="13" t="s">
        <v>40</v>
      </c>
      <c r="B8" s="14" t="s">
        <v>41</v>
      </c>
      <c r="C8" s="15" t="n">
        <f aca="false">SUMIFS(Income!$D$5:$D$154,Income!$F$5:$F$154,A8,Income!$E$5:$E$154,"Y")</f>
        <v>0</v>
      </c>
      <c r="D8" s="15" t="n">
        <f aca="false">SUMIFS(Income!$D$5:$D$154,Income!$F$5:$F$154,A8)-C8</f>
        <v>1200</v>
      </c>
      <c r="E8" s="15" t="n">
        <f aca="false">SUMIF(Expenses!$E$5:$E$142,A8,Expenses!$D$5:$D$142)</f>
        <v>0</v>
      </c>
      <c r="F8" s="16" t="n">
        <f aca="false">C8-E8</f>
        <v>0</v>
      </c>
      <c r="G8" s="15" t="n">
        <f aca="false">MAX(0,F8)*Settings!$B$6*Settings!$B$5</f>
        <v>0</v>
      </c>
      <c r="H8" s="15" t="n">
        <f aca="false">MAX(0,F8-G8/2)*Settings!$B$4</f>
        <v>0</v>
      </c>
      <c r="I8" s="17" t="n">
        <f aca="false">G8+H8</f>
        <v>0</v>
      </c>
      <c r="J8" s="18" t="n">
        <f aca="false">IF(F8&lt;=0,0,I8/F8)</f>
        <v>0</v>
      </c>
    </row>
    <row r="9" customFormat="false" ht="15" hidden="false" customHeight="false" outlineLevel="0" collapsed="false">
      <c r="A9" s="19" t="s">
        <v>42</v>
      </c>
      <c r="C9" s="17" t="n">
        <f aca="false">SUM(C5:C8)</f>
        <v>29000</v>
      </c>
      <c r="D9" s="17" t="n">
        <f aca="false">SUM(D5:D8)</f>
        <v>3950</v>
      </c>
      <c r="E9" s="17" t="n">
        <f aca="false">SUM(E5:E8)</f>
        <v>3323</v>
      </c>
      <c r="F9" s="17" t="n">
        <f aca="false">SUM(F5:F8)</f>
        <v>25677</v>
      </c>
      <c r="G9" s="17" t="n">
        <f aca="false">SUM(G5:G8)</f>
        <v>3628.0445535</v>
      </c>
      <c r="H9" s="17" t="n">
        <f aca="false">SUM(H5:H8)</f>
        <v>5727.11465358</v>
      </c>
      <c r="I9" s="17" t="n">
        <f aca="false">SUM(I5:I8)</f>
        <v>9355.15920708</v>
      </c>
      <c r="J9" s="20" t="n">
        <f aca="false">IF(F9&lt;=0,0,I9/F9)</f>
        <v>0.36434004</v>
      </c>
    </row>
    <row r="11" customFormat="false" ht="147.75" hidden="false" customHeight="false" outlineLevel="0" collapsed="false">
      <c r="A11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2" t="s">
        <v>45</v>
      </c>
    </row>
    <row r="4" customFormat="false" ht="15" hidden="false" customHeight="false" outlineLevel="0" collapsed="false">
      <c r="A4" s="14" t="s">
        <v>46</v>
      </c>
      <c r="B4" s="21" t="n">
        <v>0.24</v>
      </c>
    </row>
    <row r="5" customFormat="false" ht="15" hidden="false" customHeight="false" outlineLevel="0" collapsed="false">
      <c r="A5" s="14" t="s">
        <v>47</v>
      </c>
      <c r="B5" s="21" t="n">
        <v>0.153</v>
      </c>
    </row>
    <row r="6" customFormat="false" ht="15" hidden="false" customHeight="false" outlineLevel="0" collapsed="false">
      <c r="A6" s="14" t="s">
        <v>48</v>
      </c>
      <c r="B6" s="21" t="n">
        <v>0.9235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2" t="s">
        <v>45</v>
      </c>
    </row>
    <row r="4" customFormat="false" ht="30" hidden="false" customHeight="true" outlineLevel="0" collapsed="false">
      <c r="A4" s="12" t="s">
        <v>50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24</v>
      </c>
    </row>
    <row r="5" customFormat="false" ht="15" hidden="false" customHeight="false" outlineLevel="0" collapsed="false">
      <c r="A5" s="13" t="s">
        <v>55</v>
      </c>
      <c r="B5" s="13" t="s">
        <v>56</v>
      </c>
      <c r="C5" s="13" t="s">
        <v>57</v>
      </c>
      <c r="D5" s="22" t="n">
        <v>1200</v>
      </c>
      <c r="E5" s="13" t="s">
        <v>58</v>
      </c>
      <c r="F5" s="14" t="str">
        <f aca="false">IF(A5="","","Q"&amp;ROUNDUP(MONTH(DATEVALUE(A5))/3,0))</f>
        <v>Q1</v>
      </c>
    </row>
    <row r="6" customFormat="false" ht="15" hidden="false" customHeight="false" outlineLevel="0" collapsed="false">
      <c r="A6" s="13" t="s">
        <v>59</v>
      </c>
      <c r="B6" s="13" t="s">
        <v>60</v>
      </c>
      <c r="C6" s="13" t="s">
        <v>61</v>
      </c>
      <c r="D6" s="22" t="n">
        <v>800</v>
      </c>
      <c r="E6" s="13" t="s">
        <v>58</v>
      </c>
      <c r="F6" s="14" t="str">
        <f aca="false">IF(A6="","","Q"&amp;ROUNDUP(MONTH(DATEVALUE(A6))/3,0))</f>
        <v>Q1</v>
      </c>
    </row>
    <row r="7" customFormat="false" ht="15" hidden="false" customHeight="false" outlineLevel="0" collapsed="false">
      <c r="A7" s="13" t="s">
        <v>62</v>
      </c>
      <c r="B7" s="13" t="s">
        <v>56</v>
      </c>
      <c r="C7" s="13" t="s">
        <v>63</v>
      </c>
      <c r="D7" s="22" t="n">
        <v>1500</v>
      </c>
      <c r="E7" s="13" t="s">
        <v>58</v>
      </c>
      <c r="F7" s="14" t="str">
        <f aca="false">IF(A7="","","Q"&amp;ROUNDUP(MONTH(DATEVALUE(A7))/3,0))</f>
        <v>Q1</v>
      </c>
    </row>
    <row r="8" customFormat="false" ht="15" hidden="false" customHeight="false" outlineLevel="0" collapsed="false">
      <c r="A8" s="13" t="s">
        <v>64</v>
      </c>
      <c r="B8" s="13" t="s">
        <v>60</v>
      </c>
      <c r="C8" s="13" t="s">
        <v>65</v>
      </c>
      <c r="D8" s="22" t="n">
        <v>800</v>
      </c>
      <c r="E8" s="13" t="s">
        <v>58</v>
      </c>
      <c r="F8" s="14" t="str">
        <f aca="false">IF(A8="","","Q"&amp;ROUNDUP(MONTH(DATEVALUE(A8))/3,0))</f>
        <v>Q1</v>
      </c>
    </row>
    <row r="9" customFormat="false" ht="15" hidden="false" customHeight="false" outlineLevel="0" collapsed="false">
      <c r="A9" s="13" t="s">
        <v>66</v>
      </c>
      <c r="B9" s="13" t="s">
        <v>56</v>
      </c>
      <c r="C9" s="13" t="s">
        <v>67</v>
      </c>
      <c r="D9" s="22" t="n">
        <v>1500</v>
      </c>
      <c r="E9" s="13" t="s">
        <v>58</v>
      </c>
      <c r="F9" s="14" t="str">
        <f aca="false">IF(A9="","","Q"&amp;ROUNDUP(MONTH(DATEVALUE(A9))/3,0))</f>
        <v>Q1</v>
      </c>
    </row>
    <row r="10" customFormat="false" ht="15" hidden="false" customHeight="false" outlineLevel="0" collapsed="false">
      <c r="A10" s="13" t="s">
        <v>68</v>
      </c>
      <c r="B10" s="13" t="s">
        <v>69</v>
      </c>
      <c r="C10" s="13" t="s">
        <v>70</v>
      </c>
      <c r="D10" s="22" t="n">
        <v>2200</v>
      </c>
      <c r="E10" s="13" t="s">
        <v>58</v>
      </c>
      <c r="F10" s="14" t="str">
        <f aca="false">IF(A10="","","Q"&amp;ROUNDUP(MONTH(DATEVALUE(A10))/3,0))</f>
        <v>Q1</v>
      </c>
    </row>
    <row r="11" customFormat="false" ht="15" hidden="false" customHeight="false" outlineLevel="0" collapsed="false">
      <c r="A11" s="13" t="s">
        <v>71</v>
      </c>
      <c r="B11" s="13" t="s">
        <v>69</v>
      </c>
      <c r="C11" s="13" t="s">
        <v>72</v>
      </c>
      <c r="D11" s="22" t="n">
        <v>2200</v>
      </c>
      <c r="E11" s="13" t="s">
        <v>58</v>
      </c>
      <c r="F11" s="14" t="str">
        <f aca="false">IF(A11="","","Q"&amp;ROUNDUP(MONTH(DATEVALUE(A11))/3,0))</f>
        <v>Q1</v>
      </c>
    </row>
    <row r="12" customFormat="false" ht="15" hidden="false" customHeight="false" outlineLevel="0" collapsed="false">
      <c r="A12" s="13" t="s">
        <v>73</v>
      </c>
      <c r="B12" s="13" t="s">
        <v>69</v>
      </c>
      <c r="C12" s="13" t="s">
        <v>74</v>
      </c>
      <c r="D12" s="22" t="n">
        <v>800</v>
      </c>
      <c r="E12" s="13" t="s">
        <v>58</v>
      </c>
      <c r="F12" s="14" t="str">
        <f aca="false">IF(A12="","","Q"&amp;ROUNDUP(MONTH(DATEVALUE(A12))/3,0))</f>
        <v>Q1</v>
      </c>
    </row>
    <row r="13" customFormat="false" ht="15" hidden="false" customHeight="false" outlineLevel="0" collapsed="false">
      <c r="A13" s="13" t="s">
        <v>75</v>
      </c>
      <c r="B13" s="13" t="s">
        <v>69</v>
      </c>
      <c r="C13" s="13" t="s">
        <v>76</v>
      </c>
      <c r="D13" s="22" t="n">
        <v>1200</v>
      </c>
      <c r="E13" s="13" t="s">
        <v>58</v>
      </c>
      <c r="F13" s="14" t="str">
        <f aca="false">IF(A13="","","Q"&amp;ROUNDUP(MONTH(DATEVALUE(A13))/3,0))</f>
        <v>Q2</v>
      </c>
    </row>
    <row r="14" customFormat="false" ht="15" hidden="false" customHeight="false" outlineLevel="0" collapsed="false">
      <c r="A14" s="13" t="s">
        <v>77</v>
      </c>
      <c r="B14" s="13" t="s">
        <v>69</v>
      </c>
      <c r="C14" s="13" t="s">
        <v>78</v>
      </c>
      <c r="D14" s="22" t="n">
        <v>800</v>
      </c>
      <c r="E14" s="13" t="s">
        <v>58</v>
      </c>
      <c r="F14" s="14" t="str">
        <f aca="false">IF(A14="","","Q"&amp;ROUNDUP(MONTH(DATEVALUE(A14))/3,0))</f>
        <v>Q2</v>
      </c>
    </row>
    <row r="15" customFormat="false" ht="15" hidden="false" customHeight="false" outlineLevel="0" collapsed="false">
      <c r="A15" s="13" t="s">
        <v>79</v>
      </c>
      <c r="B15" s="13" t="s">
        <v>56</v>
      </c>
      <c r="C15" s="13" t="s">
        <v>80</v>
      </c>
      <c r="D15" s="22" t="n">
        <v>800</v>
      </c>
      <c r="E15" s="13" t="s">
        <v>58</v>
      </c>
      <c r="F15" s="14" t="str">
        <f aca="false">IF(A15="","","Q"&amp;ROUNDUP(MONTH(DATEVALUE(A15))/3,0))</f>
        <v>Q2</v>
      </c>
    </row>
    <row r="16" customFormat="false" ht="15" hidden="false" customHeight="false" outlineLevel="0" collapsed="false">
      <c r="A16" s="13" t="s">
        <v>81</v>
      </c>
      <c r="B16" s="13" t="s">
        <v>69</v>
      </c>
      <c r="C16" s="13" t="s">
        <v>82</v>
      </c>
      <c r="D16" s="22" t="n">
        <v>450</v>
      </c>
      <c r="E16" s="13" t="s">
        <v>58</v>
      </c>
      <c r="F16" s="14" t="str">
        <f aca="false">IF(A16="","","Q"&amp;ROUNDUP(MONTH(DATEVALUE(A16))/3,0))</f>
        <v>Q2</v>
      </c>
    </row>
    <row r="17" customFormat="false" ht="15" hidden="false" customHeight="false" outlineLevel="0" collapsed="false">
      <c r="A17" s="13" t="s">
        <v>83</v>
      </c>
      <c r="B17" s="13" t="s">
        <v>84</v>
      </c>
      <c r="C17" s="13" t="s">
        <v>85</v>
      </c>
      <c r="D17" s="22" t="n">
        <v>450</v>
      </c>
      <c r="E17" s="13" t="s">
        <v>58</v>
      </c>
      <c r="F17" s="14" t="str">
        <f aca="false">IF(A17="","","Q"&amp;ROUNDUP(MONTH(DATEVALUE(A17))/3,0))</f>
        <v>Q2</v>
      </c>
    </row>
    <row r="18" customFormat="false" ht="15" hidden="false" customHeight="false" outlineLevel="0" collapsed="false">
      <c r="A18" s="13" t="s">
        <v>86</v>
      </c>
      <c r="B18" s="13" t="s">
        <v>84</v>
      </c>
      <c r="C18" s="13" t="s">
        <v>87</v>
      </c>
      <c r="D18" s="22" t="n">
        <v>2200</v>
      </c>
      <c r="E18" s="13" t="s">
        <v>58</v>
      </c>
      <c r="F18" s="14" t="str">
        <f aca="false">IF(A18="","","Q"&amp;ROUNDUP(MONTH(DATEVALUE(A18))/3,0))</f>
        <v>Q2</v>
      </c>
    </row>
    <row r="19" customFormat="false" ht="15" hidden="false" customHeight="false" outlineLevel="0" collapsed="false">
      <c r="A19" s="13" t="s">
        <v>88</v>
      </c>
      <c r="B19" s="13" t="s">
        <v>69</v>
      </c>
      <c r="C19" s="13" t="s">
        <v>89</v>
      </c>
      <c r="D19" s="22" t="n">
        <v>1500</v>
      </c>
      <c r="E19" s="13" t="s">
        <v>58</v>
      </c>
      <c r="F19" s="14" t="str">
        <f aca="false">IF(A19="","","Q"&amp;ROUNDUP(MONTH(DATEVALUE(A19))/3,0))</f>
        <v>Q2</v>
      </c>
    </row>
    <row r="20" customFormat="false" ht="15" hidden="false" customHeight="false" outlineLevel="0" collapsed="false">
      <c r="A20" s="13" t="s">
        <v>90</v>
      </c>
      <c r="B20" s="13" t="s">
        <v>56</v>
      </c>
      <c r="C20" s="13" t="s">
        <v>91</v>
      </c>
      <c r="D20" s="22" t="n">
        <v>800</v>
      </c>
      <c r="E20" s="13" t="s">
        <v>58</v>
      </c>
      <c r="F20" s="14" t="str">
        <f aca="false">IF(A20="","","Q"&amp;ROUNDUP(MONTH(DATEVALUE(A20))/3,0))</f>
        <v>Q2</v>
      </c>
    </row>
    <row r="21" customFormat="false" ht="15" hidden="false" customHeight="false" outlineLevel="0" collapsed="false">
      <c r="A21" s="13" t="s">
        <v>92</v>
      </c>
      <c r="B21" s="13" t="s">
        <v>60</v>
      </c>
      <c r="C21" s="13" t="s">
        <v>93</v>
      </c>
      <c r="D21" s="22" t="n">
        <v>450</v>
      </c>
      <c r="E21" s="13" t="s">
        <v>58</v>
      </c>
      <c r="F21" s="14" t="str">
        <f aca="false">IF(A21="","","Q"&amp;ROUNDUP(MONTH(DATEVALUE(A21))/3,0))</f>
        <v>Q2</v>
      </c>
    </row>
    <row r="22" customFormat="false" ht="15" hidden="false" customHeight="false" outlineLevel="0" collapsed="false">
      <c r="A22" s="13" t="s">
        <v>94</v>
      </c>
      <c r="B22" s="13" t="s">
        <v>69</v>
      </c>
      <c r="C22" s="13" t="s">
        <v>95</v>
      </c>
      <c r="D22" s="22" t="n">
        <v>450</v>
      </c>
      <c r="E22" s="13" t="s">
        <v>58</v>
      </c>
      <c r="F22" s="14" t="str">
        <f aca="false">IF(A22="","","Q"&amp;ROUNDUP(MONTH(DATEVALUE(A22))/3,0))</f>
        <v>Q2</v>
      </c>
    </row>
    <row r="23" customFormat="false" ht="15" hidden="false" customHeight="false" outlineLevel="0" collapsed="false">
      <c r="A23" s="13" t="s">
        <v>96</v>
      </c>
      <c r="B23" s="13" t="s">
        <v>56</v>
      </c>
      <c r="C23" s="13" t="s">
        <v>97</v>
      </c>
      <c r="D23" s="22" t="n">
        <v>450</v>
      </c>
      <c r="E23" s="13" t="s">
        <v>58</v>
      </c>
      <c r="F23" s="14" t="str">
        <f aca="false">IF(A23="","","Q"&amp;ROUNDUP(MONTH(DATEVALUE(A23))/3,0))</f>
        <v>Q3</v>
      </c>
    </row>
    <row r="24" customFormat="false" ht="15" hidden="false" customHeight="false" outlineLevel="0" collapsed="false">
      <c r="A24" s="13" t="s">
        <v>98</v>
      </c>
      <c r="B24" s="13" t="s">
        <v>84</v>
      </c>
      <c r="C24" s="13" t="s">
        <v>99</v>
      </c>
      <c r="D24" s="22" t="n">
        <v>800</v>
      </c>
      <c r="E24" s="13" t="s">
        <v>58</v>
      </c>
      <c r="F24" s="14" t="str">
        <f aca="false">IF(A24="","","Q"&amp;ROUNDUP(MONTH(DATEVALUE(A24))/3,0))</f>
        <v>Q3</v>
      </c>
    </row>
    <row r="25" customFormat="false" ht="15" hidden="false" customHeight="false" outlineLevel="0" collapsed="false">
      <c r="A25" s="13" t="s">
        <v>100</v>
      </c>
      <c r="B25" s="13" t="s">
        <v>69</v>
      </c>
      <c r="C25" s="13" t="s">
        <v>101</v>
      </c>
      <c r="D25" s="22" t="n">
        <v>450</v>
      </c>
      <c r="E25" s="13" t="s">
        <v>58</v>
      </c>
      <c r="F25" s="14" t="str">
        <f aca="false">IF(A25="","","Q"&amp;ROUNDUP(MONTH(DATEVALUE(A25))/3,0))</f>
        <v>Q3</v>
      </c>
    </row>
    <row r="26" customFormat="false" ht="15" hidden="false" customHeight="false" outlineLevel="0" collapsed="false">
      <c r="A26" s="13" t="s">
        <v>102</v>
      </c>
      <c r="B26" s="13" t="s">
        <v>69</v>
      </c>
      <c r="C26" s="13" t="s">
        <v>103</v>
      </c>
      <c r="D26" s="22" t="n">
        <v>800</v>
      </c>
      <c r="E26" s="13" t="s">
        <v>58</v>
      </c>
      <c r="F26" s="14" t="str">
        <f aca="false">IF(A26="","","Q"&amp;ROUNDUP(MONTH(DATEVALUE(A26))/3,0))</f>
        <v>Q3</v>
      </c>
    </row>
    <row r="27" customFormat="false" ht="15" hidden="false" customHeight="false" outlineLevel="0" collapsed="false">
      <c r="A27" s="13" t="s">
        <v>104</v>
      </c>
      <c r="B27" s="13" t="s">
        <v>56</v>
      </c>
      <c r="C27" s="13" t="s">
        <v>105</v>
      </c>
      <c r="D27" s="22" t="n">
        <v>2200</v>
      </c>
      <c r="E27" s="13" t="s">
        <v>58</v>
      </c>
      <c r="F27" s="14" t="str">
        <f aca="false">IF(A27="","","Q"&amp;ROUNDUP(MONTH(DATEVALUE(A27))/3,0))</f>
        <v>Q3</v>
      </c>
    </row>
    <row r="28" customFormat="false" ht="15" hidden="false" customHeight="false" outlineLevel="0" collapsed="false">
      <c r="A28" s="13" t="s">
        <v>106</v>
      </c>
      <c r="B28" s="13" t="s">
        <v>69</v>
      </c>
      <c r="C28" s="13" t="s">
        <v>107</v>
      </c>
      <c r="D28" s="22" t="n">
        <v>1500</v>
      </c>
      <c r="E28" s="13" t="s">
        <v>58</v>
      </c>
      <c r="F28" s="14" t="str">
        <f aca="false">IF(A28="","","Q"&amp;ROUNDUP(MONTH(DATEVALUE(A28))/3,0))</f>
        <v>Q3</v>
      </c>
    </row>
    <row r="29" customFormat="false" ht="15" hidden="false" customHeight="false" outlineLevel="0" collapsed="false">
      <c r="A29" s="13" t="s">
        <v>108</v>
      </c>
      <c r="B29" s="13" t="s">
        <v>56</v>
      </c>
      <c r="C29" s="13" t="s">
        <v>109</v>
      </c>
      <c r="D29" s="22" t="n">
        <v>1200</v>
      </c>
      <c r="E29" s="13" t="s">
        <v>58</v>
      </c>
      <c r="F29" s="14" t="str">
        <f aca="false">IF(A29="","","Q"&amp;ROUNDUP(MONTH(DATEVALUE(A29))/3,0))</f>
        <v>Q3</v>
      </c>
    </row>
    <row r="30" customFormat="false" ht="15" hidden="false" customHeight="false" outlineLevel="0" collapsed="false">
      <c r="A30" s="13" t="s">
        <v>110</v>
      </c>
      <c r="B30" s="13" t="s">
        <v>84</v>
      </c>
      <c r="C30" s="13" t="s">
        <v>111</v>
      </c>
      <c r="D30" s="22" t="n">
        <v>1500</v>
      </c>
      <c r="E30" s="13" t="s">
        <v>58</v>
      </c>
      <c r="F30" s="14" t="str">
        <f aca="false">IF(A30="","","Q"&amp;ROUNDUP(MONTH(DATEVALUE(A30))/3,0))</f>
        <v>Q3</v>
      </c>
    </row>
    <row r="31" customFormat="false" ht="15" hidden="false" customHeight="false" outlineLevel="0" collapsed="false">
      <c r="A31" s="13" t="s">
        <v>112</v>
      </c>
      <c r="B31" s="13" t="s">
        <v>84</v>
      </c>
      <c r="C31" s="13" t="s">
        <v>113</v>
      </c>
      <c r="D31" s="22" t="n">
        <v>800</v>
      </c>
      <c r="E31" s="13"/>
      <c r="F31" s="14" t="str">
        <f aca="false">IF(A31="","","Q"&amp;ROUNDUP(MONTH(DATEVALUE(A31))/3,0))</f>
        <v>Q3</v>
      </c>
    </row>
    <row r="32" customFormat="false" ht="15" hidden="false" customHeight="false" outlineLevel="0" collapsed="false">
      <c r="A32" s="13" t="s">
        <v>114</v>
      </c>
      <c r="B32" s="13" t="s">
        <v>56</v>
      </c>
      <c r="C32" s="13" t="s">
        <v>115</v>
      </c>
      <c r="D32" s="22" t="n">
        <v>450</v>
      </c>
      <c r="E32" s="13"/>
      <c r="F32" s="14" t="str">
        <f aca="false">IF(A32="","","Q"&amp;ROUNDUP(MONTH(DATEVALUE(A32))/3,0))</f>
        <v>Q3</v>
      </c>
    </row>
    <row r="33" customFormat="false" ht="15" hidden="false" customHeight="false" outlineLevel="0" collapsed="false">
      <c r="A33" s="13" t="s">
        <v>116</v>
      </c>
      <c r="B33" s="13" t="s">
        <v>69</v>
      </c>
      <c r="C33" s="13" t="s">
        <v>117</v>
      </c>
      <c r="D33" s="22" t="n">
        <v>1500</v>
      </c>
      <c r="E33" s="13"/>
      <c r="F33" s="14" t="str">
        <f aca="false">IF(A33="","","Q"&amp;ROUNDUP(MONTH(DATEVALUE(A33))/3,0))</f>
        <v>Q3</v>
      </c>
    </row>
    <row r="34" customFormat="false" ht="15" hidden="false" customHeight="false" outlineLevel="0" collapsed="false">
      <c r="A34" s="13" t="s">
        <v>118</v>
      </c>
      <c r="B34" s="13" t="s">
        <v>60</v>
      </c>
      <c r="C34" s="13" t="s">
        <v>119</v>
      </c>
      <c r="D34" s="22" t="n">
        <v>1200</v>
      </c>
      <c r="E34" s="13"/>
      <c r="F34" s="14" t="str">
        <f aca="false">IF(A34="","","Q"&amp;ROUNDUP(MONTH(DATEVALUE(A34))/3,0))</f>
        <v>Q4</v>
      </c>
    </row>
    <row r="35" customFormat="false" ht="15" hidden="false" customHeight="false" outlineLevel="0" collapsed="false">
      <c r="A35" s="13"/>
      <c r="B35" s="13"/>
      <c r="C35" s="13"/>
      <c r="D35" s="22"/>
      <c r="E35" s="13"/>
      <c r="F35" s="14" t="str">
        <f aca="false">IF(A35="","","Q"&amp;ROUNDUP(MONTH(DATEVALUE(A35))/3,0))</f>
        <v/>
      </c>
    </row>
    <row r="36" customFormat="false" ht="15" hidden="false" customHeight="false" outlineLevel="0" collapsed="false">
      <c r="A36" s="13"/>
      <c r="B36" s="13"/>
      <c r="C36" s="13"/>
      <c r="D36" s="22"/>
      <c r="E36" s="13"/>
      <c r="F36" s="14" t="str">
        <f aca="false">IF(A36="","","Q"&amp;ROUNDUP(MONTH(DATEVALUE(A36))/3,0))</f>
        <v/>
      </c>
    </row>
    <row r="37" customFormat="false" ht="15" hidden="false" customHeight="false" outlineLevel="0" collapsed="false">
      <c r="A37" s="13"/>
      <c r="B37" s="13"/>
      <c r="C37" s="13"/>
      <c r="D37" s="22"/>
      <c r="E37" s="13"/>
      <c r="F37" s="14" t="str">
        <f aca="false">IF(A37="","","Q"&amp;ROUNDUP(MONTH(DATEVALUE(A37))/3,0))</f>
        <v/>
      </c>
    </row>
    <row r="38" customFormat="false" ht="15" hidden="false" customHeight="false" outlineLevel="0" collapsed="false">
      <c r="A38" s="13"/>
      <c r="B38" s="13"/>
      <c r="C38" s="13"/>
      <c r="D38" s="22"/>
      <c r="E38" s="13"/>
      <c r="F38" s="14" t="str">
        <f aca="false">IF(A38="","","Q"&amp;ROUNDUP(MONTH(DATEVALUE(A38))/3,0))</f>
        <v/>
      </c>
    </row>
    <row r="39" customFormat="false" ht="15" hidden="false" customHeight="false" outlineLevel="0" collapsed="false">
      <c r="A39" s="13"/>
      <c r="B39" s="13"/>
      <c r="C39" s="13"/>
      <c r="D39" s="22"/>
      <c r="E39" s="13"/>
      <c r="F39" s="14" t="str">
        <f aca="false">IF(A39="","","Q"&amp;ROUNDUP(MONTH(DATEVALUE(A39))/3,0))</f>
        <v/>
      </c>
    </row>
    <row r="40" customFormat="false" ht="15" hidden="false" customHeight="false" outlineLevel="0" collapsed="false">
      <c r="A40" s="13"/>
      <c r="B40" s="13"/>
      <c r="C40" s="13"/>
      <c r="D40" s="22"/>
      <c r="E40" s="13"/>
      <c r="F40" s="14" t="str">
        <f aca="false">IF(A40="","","Q"&amp;ROUNDUP(MONTH(DATEVALUE(A40))/3,0))</f>
        <v/>
      </c>
    </row>
    <row r="41" customFormat="false" ht="15" hidden="false" customHeight="false" outlineLevel="0" collapsed="false">
      <c r="A41" s="13"/>
      <c r="B41" s="13"/>
      <c r="C41" s="13"/>
      <c r="D41" s="22"/>
      <c r="E41" s="13"/>
      <c r="F41" s="14" t="str">
        <f aca="false">IF(A41="","","Q"&amp;ROUNDUP(MONTH(DATEVALUE(A41))/3,0))</f>
        <v/>
      </c>
    </row>
    <row r="42" customFormat="false" ht="15" hidden="false" customHeight="false" outlineLevel="0" collapsed="false">
      <c r="A42" s="13"/>
      <c r="B42" s="13"/>
      <c r="C42" s="13"/>
      <c r="D42" s="22"/>
      <c r="E42" s="13"/>
      <c r="F42" s="14" t="str">
        <f aca="false">IF(A42="","","Q"&amp;ROUNDUP(MONTH(DATEVALUE(A42))/3,0))</f>
        <v/>
      </c>
    </row>
    <row r="43" customFormat="false" ht="15" hidden="false" customHeight="false" outlineLevel="0" collapsed="false">
      <c r="A43" s="13"/>
      <c r="B43" s="13"/>
      <c r="C43" s="13"/>
      <c r="D43" s="22"/>
      <c r="E43" s="13"/>
      <c r="F43" s="14" t="str">
        <f aca="false">IF(A43="","","Q"&amp;ROUNDUP(MONTH(DATEVALUE(A43))/3,0))</f>
        <v/>
      </c>
    </row>
    <row r="44" customFormat="false" ht="15" hidden="false" customHeight="false" outlineLevel="0" collapsed="false">
      <c r="A44" s="13"/>
      <c r="B44" s="13"/>
      <c r="C44" s="13"/>
      <c r="D44" s="22"/>
      <c r="E44" s="13"/>
      <c r="F44" s="14" t="str">
        <f aca="false">IF(A44="","","Q"&amp;ROUNDUP(MONTH(DATEVALUE(A44))/3,0))</f>
        <v/>
      </c>
    </row>
    <row r="45" customFormat="false" ht="15" hidden="false" customHeight="false" outlineLevel="0" collapsed="false">
      <c r="A45" s="13"/>
      <c r="B45" s="13"/>
      <c r="C45" s="13"/>
      <c r="D45" s="22"/>
      <c r="E45" s="13"/>
      <c r="F45" s="14" t="str">
        <f aca="false">IF(A45="","","Q"&amp;ROUNDUP(MONTH(DATEVALUE(A45))/3,0))</f>
        <v/>
      </c>
    </row>
    <row r="46" customFormat="false" ht="15" hidden="false" customHeight="false" outlineLevel="0" collapsed="false">
      <c r="A46" s="13"/>
      <c r="B46" s="13"/>
      <c r="C46" s="13"/>
      <c r="D46" s="22"/>
      <c r="E46" s="13"/>
      <c r="F46" s="14" t="str">
        <f aca="false">IF(A46="","","Q"&amp;ROUNDUP(MONTH(DATEVALUE(A46))/3,0))</f>
        <v/>
      </c>
    </row>
    <row r="47" customFormat="false" ht="15" hidden="false" customHeight="false" outlineLevel="0" collapsed="false">
      <c r="A47" s="13"/>
      <c r="B47" s="13"/>
      <c r="C47" s="13"/>
      <c r="D47" s="22"/>
      <c r="E47" s="13"/>
      <c r="F47" s="14" t="str">
        <f aca="false">IF(A47="","","Q"&amp;ROUNDUP(MONTH(DATEVALUE(A47))/3,0))</f>
        <v/>
      </c>
    </row>
    <row r="48" customFormat="false" ht="15" hidden="false" customHeight="false" outlineLevel="0" collapsed="false">
      <c r="A48" s="13"/>
      <c r="B48" s="13"/>
      <c r="C48" s="13"/>
      <c r="D48" s="22"/>
      <c r="E48" s="13"/>
      <c r="F48" s="14" t="str">
        <f aca="false">IF(A48="","","Q"&amp;ROUNDUP(MONTH(DATEVALUE(A48))/3,0))</f>
        <v/>
      </c>
    </row>
    <row r="49" customFormat="false" ht="15" hidden="false" customHeight="false" outlineLevel="0" collapsed="false">
      <c r="A49" s="13"/>
      <c r="B49" s="13"/>
      <c r="C49" s="13"/>
      <c r="D49" s="22"/>
      <c r="E49" s="13"/>
      <c r="F49" s="14" t="str">
        <f aca="false">IF(A49="","","Q"&amp;ROUNDUP(MONTH(DATEVALUE(A49))/3,0))</f>
        <v/>
      </c>
    </row>
    <row r="50" customFormat="false" ht="15" hidden="false" customHeight="false" outlineLevel="0" collapsed="false">
      <c r="A50" s="13"/>
      <c r="B50" s="13"/>
      <c r="C50" s="13"/>
      <c r="D50" s="22"/>
      <c r="E50" s="13"/>
      <c r="F50" s="14" t="str">
        <f aca="false">IF(A50="","","Q"&amp;ROUNDUP(MONTH(DATEVALUE(A50))/3,0))</f>
        <v/>
      </c>
    </row>
    <row r="51" customFormat="false" ht="15" hidden="false" customHeight="false" outlineLevel="0" collapsed="false">
      <c r="A51" s="13"/>
      <c r="B51" s="13"/>
      <c r="C51" s="13"/>
      <c r="D51" s="22"/>
      <c r="E51" s="13"/>
      <c r="F51" s="14" t="str">
        <f aca="false">IF(A51="","","Q"&amp;ROUNDUP(MONTH(DATEVALUE(A51))/3,0))</f>
        <v/>
      </c>
    </row>
    <row r="52" customFormat="false" ht="15" hidden="false" customHeight="false" outlineLevel="0" collapsed="false">
      <c r="A52" s="13"/>
      <c r="B52" s="13"/>
      <c r="C52" s="13"/>
      <c r="D52" s="22"/>
      <c r="E52" s="13"/>
      <c r="F52" s="14" t="str">
        <f aca="false">IF(A52="","","Q"&amp;ROUNDUP(MONTH(DATEVALUE(A52))/3,0))</f>
        <v/>
      </c>
    </row>
    <row r="53" customFormat="false" ht="15" hidden="false" customHeight="false" outlineLevel="0" collapsed="false">
      <c r="A53" s="13"/>
      <c r="B53" s="13"/>
      <c r="C53" s="13"/>
      <c r="D53" s="22"/>
      <c r="E53" s="13"/>
      <c r="F53" s="14" t="str">
        <f aca="false">IF(A53="","","Q"&amp;ROUNDUP(MONTH(DATEVALUE(A53))/3,0))</f>
        <v/>
      </c>
    </row>
    <row r="54" customFormat="false" ht="15" hidden="false" customHeight="false" outlineLevel="0" collapsed="false">
      <c r="A54" s="13"/>
      <c r="B54" s="13"/>
      <c r="C54" s="13"/>
      <c r="D54" s="22"/>
      <c r="E54" s="13"/>
      <c r="F54" s="14" t="str">
        <f aca="false">IF(A54="","","Q"&amp;ROUNDUP(MONTH(DATEVALUE(A54))/3,0))</f>
        <v/>
      </c>
    </row>
    <row r="55" customFormat="false" ht="15" hidden="false" customHeight="false" outlineLevel="0" collapsed="false">
      <c r="A55" s="13"/>
      <c r="B55" s="13"/>
      <c r="C55" s="13"/>
      <c r="D55" s="22"/>
      <c r="E55" s="13"/>
      <c r="F55" s="14" t="str">
        <f aca="false">IF(A55="","","Q"&amp;ROUNDUP(MONTH(DATEVALUE(A55))/3,0))</f>
        <v/>
      </c>
    </row>
    <row r="56" customFormat="false" ht="15" hidden="false" customHeight="false" outlineLevel="0" collapsed="false">
      <c r="A56" s="13"/>
      <c r="B56" s="13"/>
      <c r="C56" s="13"/>
      <c r="D56" s="22"/>
      <c r="E56" s="13"/>
      <c r="F56" s="14" t="str">
        <f aca="false">IF(A56="","","Q"&amp;ROUNDUP(MONTH(DATEVALUE(A56))/3,0))</f>
        <v/>
      </c>
    </row>
    <row r="57" customFormat="false" ht="15" hidden="false" customHeight="false" outlineLevel="0" collapsed="false">
      <c r="A57" s="13"/>
      <c r="B57" s="13"/>
      <c r="C57" s="13"/>
      <c r="D57" s="22"/>
      <c r="E57" s="13"/>
      <c r="F57" s="14" t="str">
        <f aca="false">IF(A57="","","Q"&amp;ROUNDUP(MONTH(DATEVALUE(A57))/3,0))</f>
        <v/>
      </c>
    </row>
    <row r="58" customFormat="false" ht="15" hidden="false" customHeight="false" outlineLevel="0" collapsed="false">
      <c r="A58" s="13"/>
      <c r="B58" s="13"/>
      <c r="C58" s="13"/>
      <c r="D58" s="22"/>
      <c r="E58" s="13"/>
      <c r="F58" s="14" t="str">
        <f aca="false">IF(A58="","","Q"&amp;ROUNDUP(MONTH(DATEVALUE(A58))/3,0))</f>
        <v/>
      </c>
    </row>
    <row r="59" customFormat="false" ht="15" hidden="false" customHeight="false" outlineLevel="0" collapsed="false">
      <c r="A59" s="13"/>
      <c r="B59" s="13"/>
      <c r="C59" s="13"/>
      <c r="D59" s="22"/>
      <c r="E59" s="13"/>
      <c r="F59" s="14" t="str">
        <f aca="false">IF(A59="","","Q"&amp;ROUNDUP(MONTH(DATEVALUE(A59))/3,0))</f>
        <v/>
      </c>
    </row>
    <row r="60" customFormat="false" ht="15" hidden="false" customHeight="false" outlineLevel="0" collapsed="false">
      <c r="A60" s="13"/>
      <c r="B60" s="13"/>
      <c r="C60" s="13"/>
      <c r="D60" s="22"/>
      <c r="E60" s="13"/>
      <c r="F60" s="14" t="str">
        <f aca="false">IF(A60="","","Q"&amp;ROUNDUP(MONTH(DATEVALUE(A60))/3,0))</f>
        <v/>
      </c>
    </row>
    <row r="61" customFormat="false" ht="15" hidden="false" customHeight="false" outlineLevel="0" collapsed="false">
      <c r="A61" s="13"/>
      <c r="B61" s="13"/>
      <c r="C61" s="13"/>
      <c r="D61" s="22"/>
      <c r="E61" s="13"/>
      <c r="F61" s="14" t="str">
        <f aca="false">IF(A61="","","Q"&amp;ROUNDUP(MONTH(DATEVALUE(A61))/3,0))</f>
        <v/>
      </c>
    </row>
    <row r="62" customFormat="false" ht="15" hidden="false" customHeight="false" outlineLevel="0" collapsed="false">
      <c r="A62" s="13"/>
      <c r="B62" s="13"/>
      <c r="C62" s="13"/>
      <c r="D62" s="22"/>
      <c r="E62" s="13"/>
      <c r="F62" s="14" t="str">
        <f aca="false">IF(A62="","","Q"&amp;ROUNDUP(MONTH(DATEVALUE(A62))/3,0))</f>
        <v/>
      </c>
    </row>
    <row r="63" customFormat="false" ht="15" hidden="false" customHeight="false" outlineLevel="0" collapsed="false">
      <c r="A63" s="13"/>
      <c r="B63" s="13"/>
      <c r="C63" s="13"/>
      <c r="D63" s="22"/>
      <c r="E63" s="13"/>
      <c r="F63" s="14" t="str">
        <f aca="false">IF(A63="","","Q"&amp;ROUNDUP(MONTH(DATEVALUE(A63))/3,0))</f>
        <v/>
      </c>
    </row>
    <row r="64" customFormat="false" ht="15" hidden="false" customHeight="false" outlineLevel="0" collapsed="false">
      <c r="A64" s="13"/>
      <c r="B64" s="13"/>
      <c r="C64" s="13"/>
      <c r="D64" s="22"/>
      <c r="E64" s="13"/>
      <c r="F64" s="14" t="str">
        <f aca="false">IF(A64="","","Q"&amp;ROUNDUP(MONTH(DATEVALUE(A64))/3,0))</f>
        <v/>
      </c>
    </row>
    <row r="65" customFormat="false" ht="15" hidden="false" customHeight="false" outlineLevel="0" collapsed="false">
      <c r="A65" s="13"/>
      <c r="B65" s="13"/>
      <c r="C65" s="13"/>
      <c r="D65" s="22"/>
      <c r="E65" s="13"/>
      <c r="F65" s="14" t="str">
        <f aca="false">IF(A65="","","Q"&amp;ROUNDUP(MONTH(DATEVALUE(A65))/3,0))</f>
        <v/>
      </c>
    </row>
    <row r="66" customFormat="false" ht="15" hidden="false" customHeight="false" outlineLevel="0" collapsed="false">
      <c r="A66" s="13"/>
      <c r="B66" s="13"/>
      <c r="C66" s="13"/>
      <c r="D66" s="22"/>
      <c r="E66" s="13"/>
      <c r="F66" s="14" t="str">
        <f aca="false">IF(A66="","","Q"&amp;ROUNDUP(MONTH(DATEVALUE(A66))/3,0))</f>
        <v/>
      </c>
    </row>
    <row r="67" customFormat="false" ht="15" hidden="false" customHeight="false" outlineLevel="0" collapsed="false">
      <c r="A67" s="13"/>
      <c r="B67" s="13"/>
      <c r="C67" s="13"/>
      <c r="D67" s="22"/>
      <c r="E67" s="13"/>
      <c r="F67" s="14" t="str">
        <f aca="false">IF(A67="","","Q"&amp;ROUNDUP(MONTH(DATEVALUE(A67))/3,0))</f>
        <v/>
      </c>
    </row>
    <row r="68" customFormat="false" ht="15" hidden="false" customHeight="false" outlineLevel="0" collapsed="false">
      <c r="A68" s="13"/>
      <c r="B68" s="13"/>
      <c r="C68" s="13"/>
      <c r="D68" s="22"/>
      <c r="E68" s="13"/>
      <c r="F68" s="14" t="str">
        <f aca="false">IF(A68="","","Q"&amp;ROUNDUP(MONTH(DATEVALUE(A68))/3,0))</f>
        <v/>
      </c>
    </row>
    <row r="69" customFormat="false" ht="15" hidden="false" customHeight="false" outlineLevel="0" collapsed="false">
      <c r="A69" s="13"/>
      <c r="B69" s="13"/>
      <c r="C69" s="13"/>
      <c r="D69" s="22"/>
      <c r="E69" s="13"/>
      <c r="F69" s="14" t="str">
        <f aca="false">IF(A69="","","Q"&amp;ROUNDUP(MONTH(DATEVALUE(A69))/3,0))</f>
        <v/>
      </c>
    </row>
    <row r="70" customFormat="false" ht="15" hidden="false" customHeight="false" outlineLevel="0" collapsed="false">
      <c r="A70" s="13"/>
      <c r="B70" s="13"/>
      <c r="C70" s="13"/>
      <c r="D70" s="22"/>
      <c r="E70" s="13"/>
      <c r="F70" s="14" t="str">
        <f aca="false">IF(A70="","","Q"&amp;ROUNDUP(MONTH(DATEVALUE(A70))/3,0))</f>
        <v/>
      </c>
    </row>
    <row r="71" customFormat="false" ht="15" hidden="false" customHeight="false" outlineLevel="0" collapsed="false">
      <c r="A71" s="13"/>
      <c r="B71" s="13"/>
      <c r="C71" s="13"/>
      <c r="D71" s="22"/>
      <c r="E71" s="13"/>
      <c r="F71" s="14" t="str">
        <f aca="false">IF(A71="","","Q"&amp;ROUNDUP(MONTH(DATEVALUE(A71))/3,0))</f>
        <v/>
      </c>
    </row>
    <row r="72" customFormat="false" ht="15" hidden="false" customHeight="false" outlineLevel="0" collapsed="false">
      <c r="A72" s="13"/>
      <c r="B72" s="13"/>
      <c r="C72" s="13"/>
      <c r="D72" s="22"/>
      <c r="E72" s="13"/>
      <c r="F72" s="14" t="str">
        <f aca="false">IF(A72="","","Q"&amp;ROUNDUP(MONTH(DATEVALUE(A72))/3,0))</f>
        <v/>
      </c>
    </row>
    <row r="73" customFormat="false" ht="15" hidden="false" customHeight="false" outlineLevel="0" collapsed="false">
      <c r="A73" s="13"/>
      <c r="B73" s="13"/>
      <c r="C73" s="13"/>
      <c r="D73" s="22"/>
      <c r="E73" s="13"/>
      <c r="F73" s="14" t="str">
        <f aca="false">IF(A73="","","Q"&amp;ROUNDUP(MONTH(DATEVALUE(A73))/3,0))</f>
        <v/>
      </c>
    </row>
    <row r="74" customFormat="false" ht="15" hidden="false" customHeight="false" outlineLevel="0" collapsed="false">
      <c r="A74" s="13"/>
      <c r="B74" s="13"/>
      <c r="C74" s="13"/>
      <c r="D74" s="22"/>
      <c r="E74" s="13"/>
      <c r="F74" s="14" t="str">
        <f aca="false">IF(A74="","","Q"&amp;ROUNDUP(MONTH(DATEVALUE(A74))/3,0))</f>
        <v/>
      </c>
    </row>
    <row r="75" customFormat="false" ht="15" hidden="false" customHeight="false" outlineLevel="0" collapsed="false">
      <c r="A75" s="13"/>
      <c r="B75" s="13"/>
      <c r="C75" s="13"/>
      <c r="D75" s="22"/>
      <c r="E75" s="13"/>
      <c r="F75" s="14" t="str">
        <f aca="false">IF(A75="","","Q"&amp;ROUNDUP(MONTH(DATEVALUE(A75))/3,0))</f>
        <v/>
      </c>
    </row>
    <row r="76" customFormat="false" ht="15" hidden="false" customHeight="false" outlineLevel="0" collapsed="false">
      <c r="A76" s="13"/>
      <c r="B76" s="13"/>
      <c r="C76" s="13"/>
      <c r="D76" s="22"/>
      <c r="E76" s="13"/>
      <c r="F76" s="14" t="str">
        <f aca="false">IF(A76="","","Q"&amp;ROUNDUP(MONTH(DATEVALUE(A76))/3,0))</f>
        <v/>
      </c>
    </row>
    <row r="77" customFormat="false" ht="15" hidden="false" customHeight="false" outlineLevel="0" collapsed="false">
      <c r="A77" s="13"/>
      <c r="B77" s="13"/>
      <c r="C77" s="13"/>
      <c r="D77" s="22"/>
      <c r="E77" s="13"/>
      <c r="F77" s="14" t="str">
        <f aca="false">IF(A77="","","Q"&amp;ROUNDUP(MONTH(DATEVALUE(A77))/3,0))</f>
        <v/>
      </c>
    </row>
    <row r="78" customFormat="false" ht="15" hidden="false" customHeight="false" outlineLevel="0" collapsed="false">
      <c r="A78" s="13"/>
      <c r="B78" s="13"/>
      <c r="C78" s="13"/>
      <c r="D78" s="22"/>
      <c r="E78" s="13"/>
      <c r="F78" s="14" t="str">
        <f aca="false">IF(A78="","","Q"&amp;ROUNDUP(MONTH(DATEVALUE(A78))/3,0))</f>
        <v/>
      </c>
    </row>
    <row r="79" customFormat="false" ht="15" hidden="false" customHeight="false" outlineLevel="0" collapsed="false">
      <c r="A79" s="13"/>
      <c r="B79" s="13"/>
      <c r="C79" s="13"/>
      <c r="D79" s="22"/>
      <c r="E79" s="13"/>
      <c r="F79" s="14" t="str">
        <f aca="false">IF(A79="","","Q"&amp;ROUNDUP(MONTH(DATEVALUE(A79))/3,0))</f>
        <v/>
      </c>
    </row>
    <row r="80" customFormat="false" ht="15" hidden="false" customHeight="false" outlineLevel="0" collapsed="false">
      <c r="A80" s="13"/>
      <c r="B80" s="13"/>
      <c r="C80" s="13"/>
      <c r="D80" s="22"/>
      <c r="E80" s="13"/>
      <c r="F80" s="14" t="str">
        <f aca="false">IF(A80="","","Q"&amp;ROUNDUP(MONTH(DATEVALUE(A80))/3,0))</f>
        <v/>
      </c>
    </row>
    <row r="81" customFormat="false" ht="15" hidden="false" customHeight="false" outlineLevel="0" collapsed="false">
      <c r="A81" s="13"/>
      <c r="B81" s="13"/>
      <c r="C81" s="13"/>
      <c r="D81" s="22"/>
      <c r="E81" s="13"/>
      <c r="F81" s="14" t="str">
        <f aca="false">IF(A81="","","Q"&amp;ROUNDUP(MONTH(DATEVALUE(A81))/3,0))</f>
        <v/>
      </c>
    </row>
    <row r="82" customFormat="false" ht="15" hidden="false" customHeight="false" outlineLevel="0" collapsed="false">
      <c r="A82" s="13"/>
      <c r="B82" s="13"/>
      <c r="C82" s="13"/>
      <c r="D82" s="22"/>
      <c r="E82" s="13"/>
      <c r="F82" s="14" t="str">
        <f aca="false">IF(A82="","","Q"&amp;ROUNDUP(MONTH(DATEVALUE(A82))/3,0))</f>
        <v/>
      </c>
    </row>
    <row r="83" customFormat="false" ht="15" hidden="false" customHeight="false" outlineLevel="0" collapsed="false">
      <c r="A83" s="13"/>
      <c r="B83" s="13"/>
      <c r="C83" s="13"/>
      <c r="D83" s="22"/>
      <c r="E83" s="13"/>
      <c r="F83" s="14" t="str">
        <f aca="false">IF(A83="","","Q"&amp;ROUNDUP(MONTH(DATEVALUE(A83))/3,0))</f>
        <v/>
      </c>
    </row>
    <row r="84" customFormat="false" ht="15" hidden="false" customHeight="false" outlineLevel="0" collapsed="false">
      <c r="A84" s="13"/>
      <c r="B84" s="13"/>
      <c r="C84" s="13"/>
      <c r="D84" s="22"/>
      <c r="E84" s="13"/>
      <c r="F84" s="14" t="str">
        <f aca="false">IF(A84="","","Q"&amp;ROUNDUP(MONTH(DATEVALUE(A84))/3,0))</f>
        <v/>
      </c>
    </row>
    <row r="85" customFormat="false" ht="15" hidden="false" customHeight="false" outlineLevel="0" collapsed="false">
      <c r="A85" s="13"/>
      <c r="B85" s="13"/>
      <c r="C85" s="13"/>
      <c r="D85" s="22"/>
      <c r="E85" s="13"/>
      <c r="F85" s="14" t="str">
        <f aca="false">IF(A85="","","Q"&amp;ROUNDUP(MONTH(DATEVALUE(A85))/3,0))</f>
        <v/>
      </c>
    </row>
    <row r="86" customFormat="false" ht="15" hidden="false" customHeight="false" outlineLevel="0" collapsed="false">
      <c r="A86" s="13"/>
      <c r="B86" s="13"/>
      <c r="C86" s="13"/>
      <c r="D86" s="22"/>
      <c r="E86" s="13"/>
      <c r="F86" s="14" t="str">
        <f aca="false">IF(A86="","","Q"&amp;ROUNDUP(MONTH(DATEVALUE(A86))/3,0))</f>
        <v/>
      </c>
    </row>
    <row r="87" customFormat="false" ht="15" hidden="false" customHeight="false" outlineLevel="0" collapsed="false">
      <c r="A87" s="13"/>
      <c r="B87" s="13"/>
      <c r="C87" s="13"/>
      <c r="D87" s="22"/>
      <c r="E87" s="13"/>
      <c r="F87" s="14" t="str">
        <f aca="false">IF(A87="","","Q"&amp;ROUNDUP(MONTH(DATEVALUE(A87))/3,0))</f>
        <v/>
      </c>
    </row>
    <row r="88" customFormat="false" ht="15" hidden="false" customHeight="false" outlineLevel="0" collapsed="false">
      <c r="A88" s="13"/>
      <c r="B88" s="13"/>
      <c r="C88" s="13"/>
      <c r="D88" s="22"/>
      <c r="E88" s="13"/>
      <c r="F88" s="14" t="str">
        <f aca="false">IF(A88="","","Q"&amp;ROUNDUP(MONTH(DATEVALUE(A88))/3,0))</f>
        <v/>
      </c>
    </row>
    <row r="89" customFormat="false" ht="15" hidden="false" customHeight="false" outlineLevel="0" collapsed="false">
      <c r="A89" s="13"/>
      <c r="B89" s="13"/>
      <c r="C89" s="13"/>
      <c r="D89" s="22"/>
      <c r="E89" s="13"/>
      <c r="F89" s="14" t="str">
        <f aca="false">IF(A89="","","Q"&amp;ROUNDUP(MONTH(DATEVALUE(A89))/3,0))</f>
        <v/>
      </c>
    </row>
    <row r="90" customFormat="false" ht="15" hidden="false" customHeight="false" outlineLevel="0" collapsed="false">
      <c r="A90" s="13"/>
      <c r="B90" s="13"/>
      <c r="C90" s="13"/>
      <c r="D90" s="22"/>
      <c r="E90" s="13"/>
      <c r="F90" s="14" t="str">
        <f aca="false">IF(A90="","","Q"&amp;ROUNDUP(MONTH(DATEVALUE(A90))/3,0))</f>
        <v/>
      </c>
    </row>
    <row r="91" customFormat="false" ht="15" hidden="false" customHeight="false" outlineLevel="0" collapsed="false">
      <c r="A91" s="13"/>
      <c r="B91" s="13"/>
      <c r="C91" s="13"/>
      <c r="D91" s="22"/>
      <c r="E91" s="13"/>
      <c r="F91" s="14" t="str">
        <f aca="false">IF(A91="","","Q"&amp;ROUNDUP(MONTH(DATEVALUE(A91))/3,0))</f>
        <v/>
      </c>
    </row>
    <row r="92" customFormat="false" ht="15" hidden="false" customHeight="false" outlineLevel="0" collapsed="false">
      <c r="A92" s="13"/>
      <c r="B92" s="13"/>
      <c r="C92" s="13"/>
      <c r="D92" s="22"/>
      <c r="E92" s="13"/>
      <c r="F92" s="14" t="str">
        <f aca="false">IF(A92="","","Q"&amp;ROUNDUP(MONTH(DATEVALUE(A92))/3,0))</f>
        <v/>
      </c>
    </row>
    <row r="93" customFormat="false" ht="15" hidden="false" customHeight="false" outlineLevel="0" collapsed="false">
      <c r="A93" s="13"/>
      <c r="B93" s="13"/>
      <c r="C93" s="13"/>
      <c r="D93" s="22"/>
      <c r="E93" s="13"/>
      <c r="F93" s="14" t="str">
        <f aca="false">IF(A93="","","Q"&amp;ROUNDUP(MONTH(DATEVALUE(A93))/3,0))</f>
        <v/>
      </c>
    </row>
    <row r="94" customFormat="false" ht="15" hidden="false" customHeight="false" outlineLevel="0" collapsed="false">
      <c r="A94" s="13"/>
      <c r="B94" s="13"/>
      <c r="C94" s="13"/>
      <c r="D94" s="22"/>
      <c r="E94" s="13"/>
      <c r="F94" s="14" t="str">
        <f aca="false">IF(A94="","","Q"&amp;ROUNDUP(MONTH(DATEVALUE(A94))/3,0))</f>
        <v/>
      </c>
    </row>
    <row r="95" customFormat="false" ht="15" hidden="false" customHeight="false" outlineLevel="0" collapsed="false">
      <c r="A95" s="13"/>
      <c r="B95" s="13"/>
      <c r="C95" s="13"/>
      <c r="D95" s="22"/>
      <c r="E95" s="13"/>
      <c r="F95" s="14" t="str">
        <f aca="false">IF(A95="","","Q"&amp;ROUNDUP(MONTH(DATEVALUE(A95))/3,0))</f>
        <v/>
      </c>
    </row>
    <row r="96" customFormat="false" ht="15" hidden="false" customHeight="false" outlineLevel="0" collapsed="false">
      <c r="A96" s="13"/>
      <c r="B96" s="13"/>
      <c r="C96" s="13"/>
      <c r="D96" s="22"/>
      <c r="E96" s="13"/>
      <c r="F96" s="14" t="str">
        <f aca="false">IF(A96="","","Q"&amp;ROUNDUP(MONTH(DATEVALUE(A96))/3,0))</f>
        <v/>
      </c>
    </row>
    <row r="97" customFormat="false" ht="15" hidden="false" customHeight="false" outlineLevel="0" collapsed="false">
      <c r="A97" s="13"/>
      <c r="B97" s="13"/>
      <c r="C97" s="13"/>
      <c r="D97" s="22"/>
      <c r="E97" s="13"/>
      <c r="F97" s="14" t="str">
        <f aca="false">IF(A97="","","Q"&amp;ROUNDUP(MONTH(DATEVALUE(A97))/3,0))</f>
        <v/>
      </c>
    </row>
    <row r="98" customFormat="false" ht="15" hidden="false" customHeight="false" outlineLevel="0" collapsed="false">
      <c r="A98" s="13"/>
      <c r="B98" s="13"/>
      <c r="C98" s="13"/>
      <c r="D98" s="22"/>
      <c r="E98" s="13"/>
      <c r="F98" s="14" t="str">
        <f aca="false">IF(A98="","","Q"&amp;ROUNDUP(MONTH(DATEVALUE(A98))/3,0))</f>
        <v/>
      </c>
    </row>
    <row r="99" customFormat="false" ht="15" hidden="false" customHeight="false" outlineLevel="0" collapsed="false">
      <c r="A99" s="13"/>
      <c r="B99" s="13"/>
      <c r="C99" s="13"/>
      <c r="D99" s="22"/>
      <c r="E99" s="13"/>
      <c r="F99" s="14" t="str">
        <f aca="false">IF(A99="","","Q"&amp;ROUNDUP(MONTH(DATEVALUE(A99))/3,0))</f>
        <v/>
      </c>
    </row>
    <row r="100" customFormat="false" ht="15" hidden="false" customHeight="false" outlineLevel="0" collapsed="false">
      <c r="A100" s="13"/>
      <c r="B100" s="13"/>
      <c r="C100" s="13"/>
      <c r="D100" s="22"/>
      <c r="E100" s="13"/>
      <c r="F100" s="14" t="str">
        <f aca="false">IF(A100="","","Q"&amp;ROUNDUP(MONTH(DATEVALUE(A100))/3,0))</f>
        <v/>
      </c>
    </row>
    <row r="101" customFormat="false" ht="15" hidden="false" customHeight="false" outlineLevel="0" collapsed="false">
      <c r="A101" s="13"/>
      <c r="B101" s="13"/>
      <c r="C101" s="13"/>
      <c r="D101" s="22"/>
      <c r="E101" s="13"/>
      <c r="F101" s="14" t="str">
        <f aca="false">IF(A101="","","Q"&amp;ROUNDUP(MONTH(DATEVALUE(A101))/3,0))</f>
        <v/>
      </c>
    </row>
    <row r="102" customFormat="false" ht="15" hidden="false" customHeight="false" outlineLevel="0" collapsed="false">
      <c r="A102" s="13"/>
      <c r="B102" s="13"/>
      <c r="C102" s="13"/>
      <c r="D102" s="22"/>
      <c r="E102" s="13"/>
      <c r="F102" s="14" t="str">
        <f aca="false">IF(A102="","","Q"&amp;ROUNDUP(MONTH(DATEVALUE(A102))/3,0))</f>
        <v/>
      </c>
    </row>
    <row r="103" customFormat="false" ht="15" hidden="false" customHeight="false" outlineLevel="0" collapsed="false">
      <c r="A103" s="13"/>
      <c r="B103" s="13"/>
      <c r="C103" s="13"/>
      <c r="D103" s="22"/>
      <c r="E103" s="13"/>
      <c r="F103" s="14" t="str">
        <f aca="false">IF(A103="","","Q"&amp;ROUNDUP(MONTH(DATEVALUE(A103))/3,0))</f>
        <v/>
      </c>
    </row>
    <row r="104" customFormat="false" ht="15" hidden="false" customHeight="false" outlineLevel="0" collapsed="false">
      <c r="A104" s="13"/>
      <c r="B104" s="13"/>
      <c r="C104" s="13"/>
      <c r="D104" s="22"/>
      <c r="E104" s="13"/>
      <c r="F104" s="14" t="str">
        <f aca="false">IF(A104="","","Q"&amp;ROUNDUP(MONTH(DATEVALUE(A104))/3,0))</f>
        <v/>
      </c>
    </row>
    <row r="105" customFormat="false" ht="15" hidden="false" customHeight="false" outlineLevel="0" collapsed="false">
      <c r="A105" s="13"/>
      <c r="B105" s="13"/>
      <c r="C105" s="13"/>
      <c r="D105" s="22"/>
      <c r="E105" s="13"/>
      <c r="F105" s="14" t="str">
        <f aca="false">IF(A105="","","Q"&amp;ROUNDUP(MONTH(DATEVALUE(A105))/3,0))</f>
        <v/>
      </c>
    </row>
    <row r="106" customFormat="false" ht="15" hidden="false" customHeight="false" outlineLevel="0" collapsed="false">
      <c r="A106" s="13"/>
      <c r="B106" s="13"/>
      <c r="C106" s="13"/>
      <c r="D106" s="22"/>
      <c r="E106" s="13"/>
      <c r="F106" s="14" t="str">
        <f aca="false">IF(A106="","","Q"&amp;ROUNDUP(MONTH(DATEVALUE(A106))/3,0))</f>
        <v/>
      </c>
    </row>
    <row r="107" customFormat="false" ht="15" hidden="false" customHeight="false" outlineLevel="0" collapsed="false">
      <c r="A107" s="13"/>
      <c r="B107" s="13"/>
      <c r="C107" s="13"/>
      <c r="D107" s="22"/>
      <c r="E107" s="13"/>
      <c r="F107" s="14" t="str">
        <f aca="false">IF(A107="","","Q"&amp;ROUNDUP(MONTH(DATEVALUE(A107))/3,0))</f>
        <v/>
      </c>
    </row>
    <row r="108" customFormat="false" ht="15" hidden="false" customHeight="false" outlineLevel="0" collapsed="false">
      <c r="A108" s="13"/>
      <c r="B108" s="13"/>
      <c r="C108" s="13"/>
      <c r="D108" s="22"/>
      <c r="E108" s="13"/>
      <c r="F108" s="14" t="str">
        <f aca="false">IF(A108="","","Q"&amp;ROUNDUP(MONTH(DATEVALUE(A108))/3,0))</f>
        <v/>
      </c>
    </row>
    <row r="109" customFormat="false" ht="15" hidden="false" customHeight="false" outlineLevel="0" collapsed="false">
      <c r="A109" s="13"/>
      <c r="B109" s="13"/>
      <c r="C109" s="13"/>
      <c r="D109" s="22"/>
      <c r="E109" s="13"/>
      <c r="F109" s="14" t="str">
        <f aca="false">IF(A109="","","Q"&amp;ROUNDUP(MONTH(DATEVALUE(A109))/3,0))</f>
        <v/>
      </c>
    </row>
    <row r="110" customFormat="false" ht="15" hidden="false" customHeight="false" outlineLevel="0" collapsed="false">
      <c r="A110" s="13"/>
      <c r="B110" s="13"/>
      <c r="C110" s="13"/>
      <c r="D110" s="22"/>
      <c r="E110" s="13"/>
      <c r="F110" s="14" t="str">
        <f aca="false">IF(A110="","","Q"&amp;ROUNDUP(MONTH(DATEVALUE(A110))/3,0))</f>
        <v/>
      </c>
    </row>
    <row r="111" customFormat="false" ht="15" hidden="false" customHeight="false" outlineLevel="0" collapsed="false">
      <c r="A111" s="13"/>
      <c r="B111" s="13"/>
      <c r="C111" s="13"/>
      <c r="D111" s="22"/>
      <c r="E111" s="13"/>
      <c r="F111" s="14" t="str">
        <f aca="false">IF(A111="","","Q"&amp;ROUNDUP(MONTH(DATEVALUE(A111))/3,0))</f>
        <v/>
      </c>
    </row>
    <row r="112" customFormat="false" ht="15" hidden="false" customHeight="false" outlineLevel="0" collapsed="false">
      <c r="A112" s="13"/>
      <c r="B112" s="13"/>
      <c r="C112" s="13"/>
      <c r="D112" s="22"/>
      <c r="E112" s="13"/>
      <c r="F112" s="14" t="str">
        <f aca="false">IF(A112="","","Q"&amp;ROUNDUP(MONTH(DATEVALUE(A112))/3,0))</f>
        <v/>
      </c>
    </row>
    <row r="113" customFormat="false" ht="15" hidden="false" customHeight="false" outlineLevel="0" collapsed="false">
      <c r="A113" s="13"/>
      <c r="B113" s="13"/>
      <c r="C113" s="13"/>
      <c r="D113" s="22"/>
      <c r="E113" s="13"/>
      <c r="F113" s="14" t="str">
        <f aca="false">IF(A113="","","Q"&amp;ROUNDUP(MONTH(DATEVALUE(A113))/3,0))</f>
        <v/>
      </c>
    </row>
    <row r="114" customFormat="false" ht="15" hidden="false" customHeight="false" outlineLevel="0" collapsed="false">
      <c r="A114" s="13"/>
      <c r="B114" s="13"/>
      <c r="C114" s="13"/>
      <c r="D114" s="22"/>
      <c r="E114" s="13"/>
      <c r="F114" s="14" t="str">
        <f aca="false">IF(A114="","","Q"&amp;ROUNDUP(MONTH(DATEVALUE(A114))/3,0))</f>
        <v/>
      </c>
    </row>
    <row r="115" customFormat="false" ht="15" hidden="false" customHeight="false" outlineLevel="0" collapsed="false">
      <c r="A115" s="13"/>
      <c r="B115" s="13"/>
      <c r="C115" s="13"/>
      <c r="D115" s="22"/>
      <c r="E115" s="13"/>
      <c r="F115" s="14" t="str">
        <f aca="false">IF(A115="","","Q"&amp;ROUNDUP(MONTH(DATEVALUE(A115))/3,0))</f>
        <v/>
      </c>
    </row>
    <row r="116" customFormat="false" ht="15" hidden="false" customHeight="false" outlineLevel="0" collapsed="false">
      <c r="A116" s="13"/>
      <c r="B116" s="13"/>
      <c r="C116" s="13"/>
      <c r="D116" s="22"/>
      <c r="E116" s="13"/>
      <c r="F116" s="14" t="str">
        <f aca="false">IF(A116="","","Q"&amp;ROUNDUP(MONTH(DATEVALUE(A116))/3,0))</f>
        <v/>
      </c>
    </row>
    <row r="117" customFormat="false" ht="15" hidden="false" customHeight="false" outlineLevel="0" collapsed="false">
      <c r="A117" s="13"/>
      <c r="B117" s="13"/>
      <c r="C117" s="13"/>
      <c r="D117" s="22"/>
      <c r="E117" s="13"/>
      <c r="F117" s="14" t="str">
        <f aca="false">IF(A117="","","Q"&amp;ROUNDUP(MONTH(DATEVALUE(A117))/3,0))</f>
        <v/>
      </c>
    </row>
    <row r="118" customFormat="false" ht="15" hidden="false" customHeight="false" outlineLevel="0" collapsed="false">
      <c r="A118" s="13"/>
      <c r="B118" s="13"/>
      <c r="C118" s="13"/>
      <c r="D118" s="22"/>
      <c r="E118" s="13"/>
      <c r="F118" s="14" t="str">
        <f aca="false">IF(A118="","","Q"&amp;ROUNDUP(MONTH(DATEVALUE(A118))/3,0))</f>
        <v/>
      </c>
    </row>
    <row r="119" customFormat="false" ht="15" hidden="false" customHeight="false" outlineLevel="0" collapsed="false">
      <c r="A119" s="13"/>
      <c r="B119" s="13"/>
      <c r="C119" s="13"/>
      <c r="D119" s="22"/>
      <c r="E119" s="13"/>
      <c r="F119" s="14" t="str">
        <f aca="false">IF(A119="","","Q"&amp;ROUNDUP(MONTH(DATEVALUE(A119))/3,0))</f>
        <v/>
      </c>
    </row>
    <row r="120" customFormat="false" ht="15" hidden="false" customHeight="false" outlineLevel="0" collapsed="false">
      <c r="A120" s="13"/>
      <c r="B120" s="13"/>
      <c r="C120" s="13"/>
      <c r="D120" s="22"/>
      <c r="E120" s="13"/>
      <c r="F120" s="14" t="str">
        <f aca="false">IF(A120="","","Q"&amp;ROUNDUP(MONTH(DATEVALUE(A120))/3,0))</f>
        <v/>
      </c>
    </row>
    <row r="121" customFormat="false" ht="15" hidden="false" customHeight="false" outlineLevel="0" collapsed="false">
      <c r="A121" s="13"/>
      <c r="B121" s="13"/>
      <c r="C121" s="13"/>
      <c r="D121" s="22"/>
      <c r="E121" s="13"/>
      <c r="F121" s="14" t="str">
        <f aca="false">IF(A121="","","Q"&amp;ROUNDUP(MONTH(DATEVALUE(A121))/3,0))</f>
        <v/>
      </c>
    </row>
    <row r="122" customFormat="false" ht="15" hidden="false" customHeight="false" outlineLevel="0" collapsed="false">
      <c r="A122" s="13"/>
      <c r="B122" s="13"/>
      <c r="C122" s="13"/>
      <c r="D122" s="22"/>
      <c r="E122" s="13"/>
      <c r="F122" s="14" t="str">
        <f aca="false">IF(A122="","","Q"&amp;ROUNDUP(MONTH(DATEVALUE(A122))/3,0))</f>
        <v/>
      </c>
    </row>
    <row r="123" customFormat="false" ht="15" hidden="false" customHeight="false" outlineLevel="0" collapsed="false">
      <c r="A123" s="13"/>
      <c r="B123" s="13"/>
      <c r="C123" s="13"/>
      <c r="D123" s="22"/>
      <c r="E123" s="13"/>
      <c r="F123" s="14" t="str">
        <f aca="false">IF(A123="","","Q"&amp;ROUNDUP(MONTH(DATEVALUE(A123))/3,0))</f>
        <v/>
      </c>
    </row>
    <row r="124" customFormat="false" ht="15" hidden="false" customHeight="false" outlineLevel="0" collapsed="false">
      <c r="A124" s="13"/>
      <c r="B124" s="13"/>
      <c r="C124" s="13"/>
      <c r="D124" s="22"/>
      <c r="E124" s="13"/>
      <c r="F124" s="14" t="str">
        <f aca="false">IF(A124="","","Q"&amp;ROUNDUP(MONTH(DATEVALUE(A124))/3,0))</f>
        <v/>
      </c>
    </row>
    <row r="125" customFormat="false" ht="15" hidden="false" customHeight="false" outlineLevel="0" collapsed="false">
      <c r="A125" s="13"/>
      <c r="B125" s="13"/>
      <c r="C125" s="13"/>
      <c r="D125" s="22"/>
      <c r="E125" s="13"/>
      <c r="F125" s="14" t="str">
        <f aca="false">IF(A125="","","Q"&amp;ROUNDUP(MONTH(DATEVALUE(A125))/3,0))</f>
        <v/>
      </c>
    </row>
    <row r="126" customFormat="false" ht="15" hidden="false" customHeight="false" outlineLevel="0" collapsed="false">
      <c r="A126" s="13"/>
      <c r="B126" s="13"/>
      <c r="C126" s="13"/>
      <c r="D126" s="22"/>
      <c r="E126" s="13"/>
      <c r="F126" s="14" t="str">
        <f aca="false">IF(A126="","","Q"&amp;ROUNDUP(MONTH(DATEVALUE(A126))/3,0))</f>
        <v/>
      </c>
    </row>
    <row r="127" customFormat="false" ht="15" hidden="false" customHeight="false" outlineLevel="0" collapsed="false">
      <c r="A127" s="13"/>
      <c r="B127" s="13"/>
      <c r="C127" s="13"/>
      <c r="D127" s="22"/>
      <c r="E127" s="13"/>
      <c r="F127" s="14" t="str">
        <f aca="false">IF(A127="","","Q"&amp;ROUNDUP(MONTH(DATEVALUE(A127))/3,0))</f>
        <v/>
      </c>
    </row>
    <row r="128" customFormat="false" ht="15" hidden="false" customHeight="false" outlineLevel="0" collapsed="false">
      <c r="A128" s="13"/>
      <c r="B128" s="13"/>
      <c r="C128" s="13"/>
      <c r="D128" s="22"/>
      <c r="E128" s="13"/>
      <c r="F128" s="14" t="str">
        <f aca="false">IF(A128="","","Q"&amp;ROUNDUP(MONTH(DATEVALUE(A128))/3,0))</f>
        <v/>
      </c>
    </row>
    <row r="129" customFormat="false" ht="15" hidden="false" customHeight="false" outlineLevel="0" collapsed="false">
      <c r="A129" s="13"/>
      <c r="B129" s="13"/>
      <c r="C129" s="13"/>
      <c r="D129" s="22"/>
      <c r="E129" s="13"/>
      <c r="F129" s="14" t="str">
        <f aca="false">IF(A129="","","Q"&amp;ROUNDUP(MONTH(DATEVALUE(A129))/3,0))</f>
        <v/>
      </c>
    </row>
    <row r="130" customFormat="false" ht="15" hidden="false" customHeight="false" outlineLevel="0" collapsed="false">
      <c r="A130" s="13"/>
      <c r="B130" s="13"/>
      <c r="C130" s="13"/>
      <c r="D130" s="22"/>
      <c r="E130" s="13"/>
      <c r="F130" s="14" t="str">
        <f aca="false">IF(A130="","","Q"&amp;ROUNDUP(MONTH(DATEVALUE(A130))/3,0))</f>
        <v/>
      </c>
    </row>
    <row r="131" customFormat="false" ht="15" hidden="false" customHeight="false" outlineLevel="0" collapsed="false">
      <c r="A131" s="13"/>
      <c r="B131" s="13"/>
      <c r="C131" s="13"/>
      <c r="D131" s="22"/>
      <c r="E131" s="13"/>
      <c r="F131" s="14" t="str">
        <f aca="false">IF(A131="","","Q"&amp;ROUNDUP(MONTH(DATEVALUE(A131))/3,0))</f>
        <v/>
      </c>
    </row>
    <row r="132" customFormat="false" ht="15" hidden="false" customHeight="false" outlineLevel="0" collapsed="false">
      <c r="A132" s="13"/>
      <c r="B132" s="13"/>
      <c r="C132" s="13"/>
      <c r="D132" s="22"/>
      <c r="E132" s="13"/>
      <c r="F132" s="14" t="str">
        <f aca="false">IF(A132="","","Q"&amp;ROUNDUP(MONTH(DATEVALUE(A132))/3,0))</f>
        <v/>
      </c>
    </row>
    <row r="133" customFormat="false" ht="15" hidden="false" customHeight="false" outlineLevel="0" collapsed="false">
      <c r="A133" s="13"/>
      <c r="B133" s="13"/>
      <c r="C133" s="13"/>
      <c r="D133" s="22"/>
      <c r="E133" s="13"/>
      <c r="F133" s="14" t="str">
        <f aca="false">IF(A133="","","Q"&amp;ROUNDUP(MONTH(DATEVALUE(A133))/3,0))</f>
        <v/>
      </c>
    </row>
    <row r="134" customFormat="false" ht="15" hidden="false" customHeight="false" outlineLevel="0" collapsed="false">
      <c r="A134" s="13"/>
      <c r="B134" s="13"/>
      <c r="C134" s="13"/>
      <c r="D134" s="22"/>
      <c r="E134" s="13"/>
      <c r="F134" s="14" t="str">
        <f aca="false">IF(A134="","","Q"&amp;ROUNDUP(MONTH(DATEVALUE(A134))/3,0))</f>
        <v/>
      </c>
    </row>
    <row r="135" customFormat="false" ht="15" hidden="false" customHeight="false" outlineLevel="0" collapsed="false">
      <c r="A135" s="13"/>
      <c r="B135" s="13"/>
      <c r="C135" s="13"/>
      <c r="D135" s="22"/>
      <c r="E135" s="13"/>
      <c r="F135" s="14" t="str">
        <f aca="false">IF(A135="","","Q"&amp;ROUNDUP(MONTH(DATEVALUE(A135))/3,0))</f>
        <v/>
      </c>
    </row>
    <row r="136" customFormat="false" ht="15" hidden="false" customHeight="false" outlineLevel="0" collapsed="false">
      <c r="A136" s="13"/>
      <c r="B136" s="13"/>
      <c r="C136" s="13"/>
      <c r="D136" s="22"/>
      <c r="E136" s="13"/>
      <c r="F136" s="14" t="str">
        <f aca="false">IF(A136="","","Q"&amp;ROUNDUP(MONTH(DATEVALUE(A136))/3,0))</f>
        <v/>
      </c>
    </row>
    <row r="137" customFormat="false" ht="15" hidden="false" customHeight="false" outlineLevel="0" collapsed="false">
      <c r="A137" s="13"/>
      <c r="B137" s="13"/>
      <c r="C137" s="13"/>
      <c r="D137" s="22"/>
      <c r="E137" s="13"/>
      <c r="F137" s="14" t="str">
        <f aca="false">IF(A137="","","Q"&amp;ROUNDUP(MONTH(DATEVALUE(A137))/3,0))</f>
        <v/>
      </c>
    </row>
    <row r="138" customFormat="false" ht="15" hidden="false" customHeight="false" outlineLevel="0" collapsed="false">
      <c r="A138" s="13"/>
      <c r="B138" s="13"/>
      <c r="C138" s="13"/>
      <c r="D138" s="22"/>
      <c r="E138" s="13"/>
      <c r="F138" s="14" t="str">
        <f aca="false">IF(A138="","","Q"&amp;ROUNDUP(MONTH(DATEVALUE(A138))/3,0))</f>
        <v/>
      </c>
    </row>
    <row r="139" customFormat="false" ht="15" hidden="false" customHeight="false" outlineLevel="0" collapsed="false">
      <c r="A139" s="13"/>
      <c r="B139" s="13"/>
      <c r="C139" s="13"/>
      <c r="D139" s="22"/>
      <c r="E139" s="13"/>
      <c r="F139" s="14" t="str">
        <f aca="false">IF(A139="","","Q"&amp;ROUNDUP(MONTH(DATEVALUE(A139))/3,0))</f>
        <v/>
      </c>
    </row>
    <row r="140" customFormat="false" ht="15" hidden="false" customHeight="false" outlineLevel="0" collapsed="false">
      <c r="A140" s="13"/>
      <c r="B140" s="13"/>
      <c r="C140" s="13"/>
      <c r="D140" s="22"/>
      <c r="E140" s="13"/>
      <c r="F140" s="14" t="str">
        <f aca="false">IF(A140="","","Q"&amp;ROUNDUP(MONTH(DATEVALUE(A140))/3,0))</f>
        <v/>
      </c>
    </row>
    <row r="141" customFormat="false" ht="15" hidden="false" customHeight="false" outlineLevel="0" collapsed="false">
      <c r="A141" s="13"/>
      <c r="B141" s="13"/>
      <c r="C141" s="13"/>
      <c r="D141" s="22"/>
      <c r="E141" s="13"/>
      <c r="F141" s="14" t="str">
        <f aca="false">IF(A141="","","Q"&amp;ROUNDUP(MONTH(DATEVALUE(A141))/3,0))</f>
        <v/>
      </c>
    </row>
    <row r="142" customFormat="false" ht="15" hidden="false" customHeight="false" outlineLevel="0" collapsed="false">
      <c r="A142" s="13"/>
      <c r="B142" s="13"/>
      <c r="C142" s="13"/>
      <c r="D142" s="22"/>
      <c r="E142" s="13"/>
      <c r="F142" s="14" t="str">
        <f aca="false">IF(A142="","","Q"&amp;ROUNDUP(MONTH(DATEVALUE(A142))/3,0))</f>
        <v/>
      </c>
    </row>
    <row r="143" customFormat="false" ht="15" hidden="false" customHeight="false" outlineLevel="0" collapsed="false">
      <c r="A143" s="13"/>
      <c r="B143" s="13"/>
      <c r="C143" s="13"/>
      <c r="D143" s="22"/>
      <c r="E143" s="13"/>
      <c r="F143" s="14" t="str">
        <f aca="false">IF(A143="","","Q"&amp;ROUNDUP(MONTH(DATEVALUE(A143))/3,0))</f>
        <v/>
      </c>
    </row>
    <row r="144" customFormat="false" ht="15" hidden="false" customHeight="false" outlineLevel="0" collapsed="false">
      <c r="A144" s="13"/>
      <c r="B144" s="13"/>
      <c r="C144" s="13"/>
      <c r="D144" s="22"/>
      <c r="E144" s="13"/>
      <c r="F144" s="14" t="str">
        <f aca="false">IF(A144="","","Q"&amp;ROUNDUP(MONTH(DATEVALUE(A144))/3,0))</f>
        <v/>
      </c>
    </row>
    <row r="145" customFormat="false" ht="15" hidden="false" customHeight="false" outlineLevel="0" collapsed="false">
      <c r="A145" s="13"/>
      <c r="B145" s="13"/>
      <c r="C145" s="13"/>
      <c r="D145" s="22"/>
      <c r="E145" s="13"/>
      <c r="F145" s="14" t="str">
        <f aca="false">IF(A145="","","Q"&amp;ROUNDUP(MONTH(DATEVALUE(A145))/3,0))</f>
        <v/>
      </c>
    </row>
    <row r="146" customFormat="false" ht="15" hidden="false" customHeight="false" outlineLevel="0" collapsed="false">
      <c r="A146" s="13"/>
      <c r="B146" s="13"/>
      <c r="C146" s="13"/>
      <c r="D146" s="22"/>
      <c r="E146" s="13"/>
      <c r="F146" s="14" t="str">
        <f aca="false">IF(A146="","","Q"&amp;ROUNDUP(MONTH(DATEVALUE(A146))/3,0))</f>
        <v/>
      </c>
    </row>
    <row r="147" customFormat="false" ht="15" hidden="false" customHeight="false" outlineLevel="0" collapsed="false">
      <c r="A147" s="13"/>
      <c r="B147" s="13"/>
      <c r="C147" s="13"/>
      <c r="D147" s="22"/>
      <c r="E147" s="13"/>
      <c r="F147" s="14" t="str">
        <f aca="false">IF(A147="","","Q"&amp;ROUNDUP(MONTH(DATEVALUE(A147))/3,0))</f>
        <v/>
      </c>
    </row>
    <row r="148" customFormat="false" ht="15" hidden="false" customHeight="false" outlineLevel="0" collapsed="false">
      <c r="A148" s="13"/>
      <c r="B148" s="13"/>
      <c r="C148" s="13"/>
      <c r="D148" s="22"/>
      <c r="E148" s="13"/>
      <c r="F148" s="14" t="str">
        <f aca="false">IF(A148="","","Q"&amp;ROUNDUP(MONTH(DATEVALUE(A148))/3,0))</f>
        <v/>
      </c>
    </row>
    <row r="149" customFormat="false" ht="15" hidden="false" customHeight="false" outlineLevel="0" collapsed="false">
      <c r="A149" s="13"/>
      <c r="B149" s="13"/>
      <c r="C149" s="13"/>
      <c r="D149" s="22"/>
      <c r="E149" s="13"/>
      <c r="F149" s="14" t="str">
        <f aca="false">IF(A149="","","Q"&amp;ROUNDUP(MONTH(DATEVALUE(A149))/3,0))</f>
        <v/>
      </c>
    </row>
    <row r="150" customFormat="false" ht="15" hidden="false" customHeight="false" outlineLevel="0" collapsed="false">
      <c r="A150" s="13"/>
      <c r="B150" s="13"/>
      <c r="C150" s="13"/>
      <c r="D150" s="22"/>
      <c r="E150" s="13"/>
      <c r="F150" s="14" t="str">
        <f aca="false">IF(A150="","","Q"&amp;ROUNDUP(MONTH(DATEVALUE(A150))/3,0))</f>
        <v/>
      </c>
    </row>
    <row r="151" customFormat="false" ht="15" hidden="false" customHeight="false" outlineLevel="0" collapsed="false">
      <c r="A151" s="13"/>
      <c r="B151" s="13"/>
      <c r="C151" s="13"/>
      <c r="D151" s="22"/>
      <c r="E151" s="13"/>
      <c r="F151" s="14" t="str">
        <f aca="false">IF(A151="","","Q"&amp;ROUNDUP(MONTH(DATEVALUE(A151))/3,0))</f>
        <v/>
      </c>
    </row>
    <row r="152" customFormat="false" ht="15" hidden="false" customHeight="false" outlineLevel="0" collapsed="false">
      <c r="A152" s="13"/>
      <c r="B152" s="13"/>
      <c r="C152" s="13"/>
      <c r="D152" s="22"/>
      <c r="E152" s="13"/>
      <c r="F152" s="14" t="str">
        <f aca="false">IF(A152="","","Q"&amp;ROUNDUP(MONTH(DATEVALUE(A152))/3,0))</f>
        <v/>
      </c>
    </row>
    <row r="153" customFormat="false" ht="15" hidden="false" customHeight="false" outlineLevel="0" collapsed="false">
      <c r="A153" s="13"/>
      <c r="B153" s="13"/>
      <c r="C153" s="13"/>
      <c r="D153" s="22"/>
      <c r="E153" s="13"/>
      <c r="F153" s="14" t="str">
        <f aca="false">IF(A153="","","Q"&amp;ROUNDUP(MONTH(DATEVALUE(A153))/3,0))</f>
        <v/>
      </c>
    </row>
    <row r="154" customFormat="false" ht="15" hidden="false" customHeight="false" outlineLevel="0" collapsed="false">
      <c r="A154" s="13"/>
      <c r="B154" s="13"/>
      <c r="C154" s="13"/>
      <c r="D154" s="22"/>
      <c r="E154" s="13"/>
      <c r="F154" s="14" t="str">
        <f aca="false">IF(A154="","","Q"&amp;ROUNDUP(MONTH(DATEVALUE(A154))/3,0))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2" t="s">
        <v>45</v>
      </c>
    </row>
    <row r="4" customFormat="false" ht="30" hidden="false" customHeight="true" outlineLevel="0" collapsed="false">
      <c r="A4" s="12" t="s">
        <v>50</v>
      </c>
      <c r="B4" s="12" t="s">
        <v>120</v>
      </c>
      <c r="C4" s="12" t="s">
        <v>52</v>
      </c>
      <c r="D4" s="12" t="s">
        <v>53</v>
      </c>
      <c r="E4" s="12" t="s">
        <v>24</v>
      </c>
    </row>
    <row r="5" customFormat="false" ht="15" hidden="false" customHeight="false" outlineLevel="0" collapsed="false">
      <c r="A5" s="13" t="s">
        <v>121</v>
      </c>
      <c r="B5" s="13" t="s">
        <v>122</v>
      </c>
      <c r="C5" s="13" t="s">
        <v>123</v>
      </c>
      <c r="D5" s="22" t="n">
        <v>29</v>
      </c>
      <c r="E5" s="14" t="str">
        <f aca="false">IF(A5="","","Q"&amp;ROUNDUP(MONTH(DATEVALUE(A5))/3,0))</f>
        <v>Q1</v>
      </c>
    </row>
    <row r="6" customFormat="false" ht="15" hidden="false" customHeight="false" outlineLevel="0" collapsed="false">
      <c r="A6" s="13" t="s">
        <v>124</v>
      </c>
      <c r="B6" s="13" t="s">
        <v>125</v>
      </c>
      <c r="C6" s="13" t="s">
        <v>126</v>
      </c>
      <c r="D6" s="22" t="n">
        <v>29</v>
      </c>
      <c r="E6" s="14" t="str">
        <f aca="false">IF(A6="","","Q"&amp;ROUNDUP(MONTH(DATEVALUE(A6))/3,0))</f>
        <v>Q1</v>
      </c>
    </row>
    <row r="7" customFormat="false" ht="15" hidden="false" customHeight="false" outlineLevel="0" collapsed="false">
      <c r="A7" s="13" t="s">
        <v>127</v>
      </c>
      <c r="B7" s="13" t="s">
        <v>128</v>
      </c>
      <c r="C7" s="13" t="s">
        <v>129</v>
      </c>
      <c r="D7" s="22" t="n">
        <v>240</v>
      </c>
      <c r="E7" s="14" t="str">
        <f aca="false">IF(A7="","","Q"&amp;ROUNDUP(MONTH(DATEVALUE(A7))/3,0))</f>
        <v>Q1</v>
      </c>
    </row>
    <row r="8" customFormat="false" ht="15" hidden="false" customHeight="false" outlineLevel="0" collapsed="false">
      <c r="A8" s="13" t="s">
        <v>130</v>
      </c>
      <c r="B8" s="13" t="s">
        <v>128</v>
      </c>
      <c r="C8" s="13" t="s">
        <v>131</v>
      </c>
      <c r="D8" s="22" t="n">
        <v>60</v>
      </c>
      <c r="E8" s="14" t="str">
        <f aca="false">IF(A8="","","Q"&amp;ROUNDUP(MONTH(DATEVALUE(A8))/3,0))</f>
        <v>Q1</v>
      </c>
    </row>
    <row r="9" customFormat="false" ht="15" hidden="false" customHeight="false" outlineLevel="0" collapsed="false">
      <c r="A9" s="13" t="s">
        <v>132</v>
      </c>
      <c r="B9" s="13" t="s">
        <v>128</v>
      </c>
      <c r="C9" s="13" t="s">
        <v>133</v>
      </c>
      <c r="D9" s="22" t="n">
        <v>900</v>
      </c>
      <c r="E9" s="14" t="str">
        <f aca="false">IF(A9="","","Q"&amp;ROUNDUP(MONTH(DATEVALUE(A9))/3,0))</f>
        <v>Q1</v>
      </c>
    </row>
    <row r="10" customFormat="false" ht="15" hidden="false" customHeight="false" outlineLevel="0" collapsed="false">
      <c r="A10" s="13" t="s">
        <v>134</v>
      </c>
      <c r="B10" s="13" t="s">
        <v>135</v>
      </c>
      <c r="C10" s="13" t="s">
        <v>136</v>
      </c>
      <c r="D10" s="22" t="n">
        <v>120</v>
      </c>
      <c r="E10" s="14" t="str">
        <f aca="false">IF(A10="","","Q"&amp;ROUNDUP(MONTH(DATEVALUE(A10))/3,0))</f>
        <v>Q1</v>
      </c>
    </row>
    <row r="11" customFormat="false" ht="15" hidden="false" customHeight="false" outlineLevel="0" collapsed="false">
      <c r="A11" s="13" t="s">
        <v>137</v>
      </c>
      <c r="B11" s="13" t="s">
        <v>125</v>
      </c>
      <c r="C11" s="13" t="s">
        <v>138</v>
      </c>
      <c r="D11" s="22" t="n">
        <v>240</v>
      </c>
      <c r="E11" s="14" t="str">
        <f aca="false">IF(A11="","","Q"&amp;ROUNDUP(MONTH(DATEVALUE(A11))/3,0))</f>
        <v>Q1</v>
      </c>
    </row>
    <row r="12" customFormat="false" ht="15" hidden="false" customHeight="false" outlineLevel="0" collapsed="false">
      <c r="A12" s="13" t="s">
        <v>139</v>
      </c>
      <c r="B12" s="13" t="s">
        <v>140</v>
      </c>
      <c r="C12" s="13" t="s">
        <v>141</v>
      </c>
      <c r="D12" s="22" t="n">
        <v>240</v>
      </c>
      <c r="E12" s="14" t="str">
        <f aca="false">IF(A12="","","Q"&amp;ROUNDUP(MONTH(DATEVALUE(A12))/3,0))</f>
        <v>Q2</v>
      </c>
    </row>
    <row r="13" customFormat="false" ht="15" hidden="false" customHeight="false" outlineLevel="0" collapsed="false">
      <c r="A13" s="13" t="s">
        <v>142</v>
      </c>
      <c r="B13" s="13" t="s">
        <v>125</v>
      </c>
      <c r="C13" s="13" t="s">
        <v>143</v>
      </c>
      <c r="D13" s="22" t="n">
        <v>60</v>
      </c>
      <c r="E13" s="14" t="str">
        <f aca="false">IF(A13="","","Q"&amp;ROUNDUP(MONTH(DATEVALUE(A13))/3,0))</f>
        <v>Q2</v>
      </c>
    </row>
    <row r="14" customFormat="false" ht="15" hidden="false" customHeight="false" outlineLevel="0" collapsed="false">
      <c r="A14" s="13" t="s">
        <v>144</v>
      </c>
      <c r="B14" s="13" t="s">
        <v>145</v>
      </c>
      <c r="C14" s="13" t="s">
        <v>146</v>
      </c>
      <c r="D14" s="22" t="n">
        <v>60</v>
      </c>
      <c r="E14" s="14" t="str">
        <f aca="false">IF(A14="","","Q"&amp;ROUNDUP(MONTH(DATEVALUE(A14))/3,0))</f>
        <v>Q2</v>
      </c>
    </row>
    <row r="15" customFormat="false" ht="15" hidden="false" customHeight="false" outlineLevel="0" collapsed="false">
      <c r="A15" s="13" t="s">
        <v>147</v>
      </c>
      <c r="B15" s="13" t="s">
        <v>128</v>
      </c>
      <c r="C15" s="13" t="s">
        <v>148</v>
      </c>
      <c r="D15" s="22" t="n">
        <v>900</v>
      </c>
      <c r="E15" s="14" t="str">
        <f aca="false">IF(A15="","","Q"&amp;ROUNDUP(MONTH(DATEVALUE(A15))/3,0))</f>
        <v>Q2</v>
      </c>
    </row>
    <row r="16" customFormat="false" ht="15" hidden="false" customHeight="false" outlineLevel="0" collapsed="false">
      <c r="A16" s="13" t="s">
        <v>149</v>
      </c>
      <c r="B16" s="13" t="s">
        <v>135</v>
      </c>
      <c r="C16" s="13" t="s">
        <v>150</v>
      </c>
      <c r="D16" s="22" t="n">
        <v>29</v>
      </c>
      <c r="E16" s="14" t="str">
        <f aca="false">IF(A16="","","Q"&amp;ROUNDUP(MONTH(DATEVALUE(A16))/3,0))</f>
        <v>Q2</v>
      </c>
    </row>
    <row r="17" customFormat="false" ht="15" hidden="false" customHeight="false" outlineLevel="0" collapsed="false">
      <c r="A17" s="13" t="s">
        <v>151</v>
      </c>
      <c r="B17" s="13" t="s">
        <v>122</v>
      </c>
      <c r="C17" s="13" t="s">
        <v>152</v>
      </c>
      <c r="D17" s="22" t="n">
        <v>29</v>
      </c>
      <c r="E17" s="14" t="str">
        <f aca="false">IF(A17="","","Q"&amp;ROUNDUP(MONTH(DATEVALUE(A17))/3,0))</f>
        <v>Q2</v>
      </c>
    </row>
    <row r="18" customFormat="false" ht="15" hidden="false" customHeight="false" outlineLevel="0" collapsed="false">
      <c r="A18" s="13" t="s">
        <v>153</v>
      </c>
      <c r="B18" s="13" t="s">
        <v>145</v>
      </c>
      <c r="C18" s="13" t="s">
        <v>154</v>
      </c>
      <c r="D18" s="22" t="n">
        <v>240</v>
      </c>
      <c r="E18" s="14" t="str">
        <f aca="false">IF(A18="","","Q"&amp;ROUNDUP(MONTH(DATEVALUE(A18))/3,0))</f>
        <v>Q3</v>
      </c>
    </row>
    <row r="19" customFormat="false" ht="15" hidden="false" customHeight="false" outlineLevel="0" collapsed="false">
      <c r="A19" s="13" t="s">
        <v>155</v>
      </c>
      <c r="B19" s="13" t="s">
        <v>135</v>
      </c>
      <c r="C19" s="13" t="s">
        <v>156</v>
      </c>
      <c r="D19" s="22" t="n">
        <v>60</v>
      </c>
      <c r="E19" s="14" t="str">
        <f aca="false">IF(A19="","","Q"&amp;ROUNDUP(MONTH(DATEVALUE(A19))/3,0))</f>
        <v>Q3</v>
      </c>
    </row>
    <row r="20" customFormat="false" ht="15" hidden="false" customHeight="false" outlineLevel="0" collapsed="false">
      <c r="A20" s="13" t="s">
        <v>157</v>
      </c>
      <c r="B20" s="13" t="s">
        <v>122</v>
      </c>
      <c r="C20" s="13" t="s">
        <v>158</v>
      </c>
      <c r="D20" s="22" t="n">
        <v>29</v>
      </c>
      <c r="E20" s="14" t="str">
        <f aca="false">IF(A20="","","Q"&amp;ROUNDUP(MONTH(DATEVALUE(A20))/3,0))</f>
        <v>Q3</v>
      </c>
    </row>
    <row r="21" customFormat="false" ht="15" hidden="false" customHeight="false" outlineLevel="0" collapsed="false">
      <c r="A21" s="13" t="s">
        <v>106</v>
      </c>
      <c r="B21" s="13" t="s">
        <v>122</v>
      </c>
      <c r="C21" s="13" t="s">
        <v>159</v>
      </c>
      <c r="D21" s="22" t="n">
        <v>29</v>
      </c>
      <c r="E21" s="14" t="str">
        <f aca="false">IF(A21="","","Q"&amp;ROUNDUP(MONTH(DATEVALUE(A21))/3,0))</f>
        <v>Q3</v>
      </c>
    </row>
    <row r="22" customFormat="false" ht="15" hidden="false" customHeight="false" outlineLevel="0" collapsed="false">
      <c r="A22" s="13" t="s">
        <v>160</v>
      </c>
      <c r="B22" s="13" t="s">
        <v>135</v>
      </c>
      <c r="C22" s="13" t="s">
        <v>161</v>
      </c>
      <c r="D22" s="22" t="n">
        <v>29</v>
      </c>
      <c r="E22" s="14" t="str">
        <f aca="false">IF(A22="","","Q"&amp;ROUNDUP(MONTH(DATEVALUE(A22))/3,0))</f>
        <v>Q3</v>
      </c>
    </row>
    <row r="23" customFormat="false" ht="15" hidden="false" customHeight="false" outlineLevel="0" collapsed="false">
      <c r="A23" s="13"/>
      <c r="B23" s="13"/>
      <c r="C23" s="13"/>
      <c r="D23" s="22"/>
      <c r="E23" s="14" t="str">
        <f aca="false">IF(A23="","","Q"&amp;ROUNDUP(MONTH(DATEVALUE(A23))/3,0))</f>
        <v/>
      </c>
    </row>
    <row r="24" customFormat="false" ht="15" hidden="false" customHeight="false" outlineLevel="0" collapsed="false">
      <c r="A24" s="13"/>
      <c r="B24" s="13"/>
      <c r="C24" s="13"/>
      <c r="D24" s="22"/>
      <c r="E24" s="14" t="str">
        <f aca="false">IF(A24="","","Q"&amp;ROUNDUP(MONTH(DATEVALUE(A24))/3,0))</f>
        <v/>
      </c>
    </row>
    <row r="25" customFormat="false" ht="15" hidden="false" customHeight="false" outlineLevel="0" collapsed="false">
      <c r="A25" s="13"/>
      <c r="B25" s="13"/>
      <c r="C25" s="13"/>
      <c r="D25" s="22"/>
      <c r="E25" s="14" t="str">
        <f aca="false">IF(A25="","","Q"&amp;ROUNDUP(MONTH(DATEVALUE(A25))/3,0))</f>
        <v/>
      </c>
    </row>
    <row r="26" customFormat="false" ht="15" hidden="false" customHeight="false" outlineLevel="0" collapsed="false">
      <c r="A26" s="13"/>
      <c r="B26" s="13"/>
      <c r="C26" s="13"/>
      <c r="D26" s="22"/>
      <c r="E26" s="14" t="str">
        <f aca="false">IF(A26="","","Q"&amp;ROUNDUP(MONTH(DATEVALUE(A26))/3,0))</f>
        <v/>
      </c>
    </row>
    <row r="27" customFormat="false" ht="15" hidden="false" customHeight="false" outlineLevel="0" collapsed="false">
      <c r="A27" s="13"/>
      <c r="B27" s="13"/>
      <c r="C27" s="13"/>
      <c r="D27" s="22"/>
      <c r="E27" s="14" t="str">
        <f aca="false">IF(A27="","","Q"&amp;ROUNDUP(MONTH(DATEVALUE(A27))/3,0))</f>
        <v/>
      </c>
    </row>
    <row r="28" customFormat="false" ht="15" hidden="false" customHeight="false" outlineLevel="0" collapsed="false">
      <c r="A28" s="13"/>
      <c r="B28" s="13"/>
      <c r="C28" s="13"/>
      <c r="D28" s="22"/>
      <c r="E28" s="14" t="str">
        <f aca="false">IF(A28="","","Q"&amp;ROUNDUP(MONTH(DATEVALUE(A28))/3,0))</f>
        <v/>
      </c>
    </row>
    <row r="29" customFormat="false" ht="15" hidden="false" customHeight="false" outlineLevel="0" collapsed="false">
      <c r="A29" s="13"/>
      <c r="B29" s="13"/>
      <c r="C29" s="13"/>
      <c r="D29" s="22"/>
      <c r="E29" s="14" t="str">
        <f aca="false">IF(A29="","","Q"&amp;ROUNDUP(MONTH(DATEVALUE(A29))/3,0))</f>
        <v/>
      </c>
    </row>
    <row r="30" customFormat="false" ht="15" hidden="false" customHeight="false" outlineLevel="0" collapsed="false">
      <c r="A30" s="13"/>
      <c r="B30" s="13"/>
      <c r="C30" s="13"/>
      <c r="D30" s="22"/>
      <c r="E30" s="14" t="str">
        <f aca="false">IF(A30="","","Q"&amp;ROUNDUP(MONTH(DATEVALUE(A30))/3,0))</f>
        <v/>
      </c>
    </row>
    <row r="31" customFormat="false" ht="15" hidden="false" customHeight="false" outlineLevel="0" collapsed="false">
      <c r="A31" s="13"/>
      <c r="B31" s="13"/>
      <c r="C31" s="13"/>
      <c r="D31" s="22"/>
      <c r="E31" s="14" t="str">
        <f aca="false">IF(A31="","","Q"&amp;ROUNDUP(MONTH(DATEVALUE(A31))/3,0))</f>
        <v/>
      </c>
    </row>
    <row r="32" customFormat="false" ht="15" hidden="false" customHeight="false" outlineLevel="0" collapsed="false">
      <c r="A32" s="13"/>
      <c r="B32" s="13"/>
      <c r="C32" s="13"/>
      <c r="D32" s="22"/>
      <c r="E32" s="14" t="str">
        <f aca="false">IF(A32="","","Q"&amp;ROUNDUP(MONTH(DATEVALUE(A32))/3,0))</f>
        <v/>
      </c>
    </row>
    <row r="33" customFormat="false" ht="15" hidden="false" customHeight="false" outlineLevel="0" collapsed="false">
      <c r="A33" s="13"/>
      <c r="B33" s="13"/>
      <c r="C33" s="13"/>
      <c r="D33" s="22"/>
      <c r="E33" s="14" t="str">
        <f aca="false">IF(A33="","","Q"&amp;ROUNDUP(MONTH(DATEVALUE(A33))/3,0))</f>
        <v/>
      </c>
    </row>
    <row r="34" customFormat="false" ht="15" hidden="false" customHeight="false" outlineLevel="0" collapsed="false">
      <c r="A34" s="13"/>
      <c r="B34" s="13"/>
      <c r="C34" s="13"/>
      <c r="D34" s="22"/>
      <c r="E34" s="14" t="str">
        <f aca="false">IF(A34="","","Q"&amp;ROUNDUP(MONTH(DATEVALUE(A34))/3,0))</f>
        <v/>
      </c>
    </row>
    <row r="35" customFormat="false" ht="15" hidden="false" customHeight="false" outlineLevel="0" collapsed="false">
      <c r="A35" s="13"/>
      <c r="B35" s="13"/>
      <c r="C35" s="13"/>
      <c r="D35" s="22"/>
      <c r="E35" s="14" t="str">
        <f aca="false">IF(A35="","","Q"&amp;ROUNDUP(MONTH(DATEVALUE(A35))/3,0))</f>
        <v/>
      </c>
    </row>
    <row r="36" customFormat="false" ht="15" hidden="false" customHeight="false" outlineLevel="0" collapsed="false">
      <c r="A36" s="13"/>
      <c r="B36" s="13"/>
      <c r="C36" s="13"/>
      <c r="D36" s="22"/>
      <c r="E36" s="14" t="str">
        <f aca="false">IF(A36="","","Q"&amp;ROUNDUP(MONTH(DATEVALUE(A36))/3,0))</f>
        <v/>
      </c>
    </row>
    <row r="37" customFormat="false" ht="15" hidden="false" customHeight="false" outlineLevel="0" collapsed="false">
      <c r="A37" s="13"/>
      <c r="B37" s="13"/>
      <c r="C37" s="13"/>
      <c r="D37" s="22"/>
      <c r="E37" s="14" t="str">
        <f aca="false">IF(A37="","","Q"&amp;ROUNDUP(MONTH(DATEVALUE(A37))/3,0))</f>
        <v/>
      </c>
    </row>
    <row r="38" customFormat="false" ht="15" hidden="false" customHeight="false" outlineLevel="0" collapsed="false">
      <c r="A38" s="13"/>
      <c r="B38" s="13"/>
      <c r="C38" s="13"/>
      <c r="D38" s="22"/>
      <c r="E38" s="14" t="str">
        <f aca="false">IF(A38="","","Q"&amp;ROUNDUP(MONTH(DATEVALUE(A38))/3,0))</f>
        <v/>
      </c>
    </row>
    <row r="39" customFormat="false" ht="15" hidden="false" customHeight="false" outlineLevel="0" collapsed="false">
      <c r="A39" s="13"/>
      <c r="B39" s="13"/>
      <c r="C39" s="13"/>
      <c r="D39" s="22"/>
      <c r="E39" s="14" t="str">
        <f aca="false">IF(A39="","","Q"&amp;ROUNDUP(MONTH(DATEVALUE(A39))/3,0))</f>
        <v/>
      </c>
    </row>
    <row r="40" customFormat="false" ht="15" hidden="false" customHeight="false" outlineLevel="0" collapsed="false">
      <c r="A40" s="13"/>
      <c r="B40" s="13"/>
      <c r="C40" s="13"/>
      <c r="D40" s="22"/>
      <c r="E40" s="14" t="str">
        <f aca="false">IF(A40="","","Q"&amp;ROUNDUP(MONTH(DATEVALUE(A40))/3,0))</f>
        <v/>
      </c>
    </row>
    <row r="41" customFormat="false" ht="15" hidden="false" customHeight="false" outlineLevel="0" collapsed="false">
      <c r="A41" s="13"/>
      <c r="B41" s="13"/>
      <c r="C41" s="13"/>
      <c r="D41" s="22"/>
      <c r="E41" s="14" t="str">
        <f aca="false">IF(A41="","","Q"&amp;ROUNDUP(MONTH(DATEVALUE(A41))/3,0))</f>
        <v/>
      </c>
    </row>
    <row r="42" customFormat="false" ht="15" hidden="false" customHeight="false" outlineLevel="0" collapsed="false">
      <c r="A42" s="13"/>
      <c r="B42" s="13"/>
      <c r="C42" s="13"/>
      <c r="D42" s="22"/>
      <c r="E42" s="14" t="str">
        <f aca="false">IF(A42="","","Q"&amp;ROUNDUP(MONTH(DATEVALUE(A42))/3,0))</f>
        <v/>
      </c>
    </row>
    <row r="43" customFormat="false" ht="15" hidden="false" customHeight="false" outlineLevel="0" collapsed="false">
      <c r="A43" s="13"/>
      <c r="B43" s="13"/>
      <c r="C43" s="13"/>
      <c r="D43" s="22"/>
      <c r="E43" s="14" t="str">
        <f aca="false">IF(A43="","","Q"&amp;ROUNDUP(MONTH(DATEVALUE(A43))/3,0))</f>
        <v/>
      </c>
    </row>
    <row r="44" customFormat="false" ht="15" hidden="false" customHeight="false" outlineLevel="0" collapsed="false">
      <c r="A44" s="13"/>
      <c r="B44" s="13"/>
      <c r="C44" s="13"/>
      <c r="D44" s="22"/>
      <c r="E44" s="14" t="str">
        <f aca="false">IF(A44="","","Q"&amp;ROUNDUP(MONTH(DATEVALUE(A44))/3,0))</f>
        <v/>
      </c>
    </row>
    <row r="45" customFormat="false" ht="15" hidden="false" customHeight="false" outlineLevel="0" collapsed="false">
      <c r="A45" s="13"/>
      <c r="B45" s="13"/>
      <c r="C45" s="13"/>
      <c r="D45" s="22"/>
      <c r="E45" s="14" t="str">
        <f aca="false">IF(A45="","","Q"&amp;ROUNDUP(MONTH(DATEVALUE(A45))/3,0))</f>
        <v/>
      </c>
    </row>
    <row r="46" customFormat="false" ht="15" hidden="false" customHeight="false" outlineLevel="0" collapsed="false">
      <c r="A46" s="13"/>
      <c r="B46" s="13"/>
      <c r="C46" s="13"/>
      <c r="D46" s="22"/>
      <c r="E46" s="14" t="str">
        <f aca="false">IF(A46="","","Q"&amp;ROUNDUP(MONTH(DATEVALUE(A46))/3,0))</f>
        <v/>
      </c>
    </row>
    <row r="47" customFormat="false" ht="15" hidden="false" customHeight="false" outlineLevel="0" collapsed="false">
      <c r="A47" s="13"/>
      <c r="B47" s="13"/>
      <c r="C47" s="13"/>
      <c r="D47" s="22"/>
      <c r="E47" s="14" t="str">
        <f aca="false">IF(A47="","","Q"&amp;ROUNDUP(MONTH(DATEVALUE(A47))/3,0))</f>
        <v/>
      </c>
    </row>
    <row r="48" customFormat="false" ht="15" hidden="false" customHeight="false" outlineLevel="0" collapsed="false">
      <c r="A48" s="13"/>
      <c r="B48" s="13"/>
      <c r="C48" s="13"/>
      <c r="D48" s="22"/>
      <c r="E48" s="14" t="str">
        <f aca="false">IF(A48="","","Q"&amp;ROUNDUP(MONTH(DATEVALUE(A48))/3,0))</f>
        <v/>
      </c>
    </row>
    <row r="49" customFormat="false" ht="15" hidden="false" customHeight="false" outlineLevel="0" collapsed="false">
      <c r="A49" s="13"/>
      <c r="B49" s="13"/>
      <c r="C49" s="13"/>
      <c r="D49" s="22"/>
      <c r="E49" s="14" t="str">
        <f aca="false">IF(A49="","","Q"&amp;ROUNDUP(MONTH(DATEVALUE(A49))/3,0))</f>
        <v/>
      </c>
    </row>
    <row r="50" customFormat="false" ht="15" hidden="false" customHeight="false" outlineLevel="0" collapsed="false">
      <c r="A50" s="13"/>
      <c r="B50" s="13"/>
      <c r="C50" s="13"/>
      <c r="D50" s="22"/>
      <c r="E50" s="14" t="str">
        <f aca="false">IF(A50="","","Q"&amp;ROUNDUP(MONTH(DATEVALUE(A50))/3,0))</f>
        <v/>
      </c>
    </row>
    <row r="51" customFormat="false" ht="15" hidden="false" customHeight="false" outlineLevel="0" collapsed="false">
      <c r="A51" s="13"/>
      <c r="B51" s="13"/>
      <c r="C51" s="13"/>
      <c r="D51" s="22"/>
      <c r="E51" s="14" t="str">
        <f aca="false">IF(A51="","","Q"&amp;ROUNDUP(MONTH(DATEVALUE(A51))/3,0))</f>
        <v/>
      </c>
    </row>
    <row r="52" customFormat="false" ht="15" hidden="false" customHeight="false" outlineLevel="0" collapsed="false">
      <c r="A52" s="13"/>
      <c r="B52" s="13"/>
      <c r="C52" s="13"/>
      <c r="D52" s="22"/>
      <c r="E52" s="14" t="str">
        <f aca="false">IF(A52="","","Q"&amp;ROUNDUP(MONTH(DATEVALUE(A52))/3,0))</f>
        <v/>
      </c>
    </row>
    <row r="53" customFormat="false" ht="15" hidden="false" customHeight="false" outlineLevel="0" collapsed="false">
      <c r="A53" s="13"/>
      <c r="B53" s="13"/>
      <c r="C53" s="13"/>
      <c r="D53" s="22"/>
      <c r="E53" s="14" t="str">
        <f aca="false">IF(A53="","","Q"&amp;ROUNDUP(MONTH(DATEVALUE(A53))/3,0))</f>
        <v/>
      </c>
    </row>
    <row r="54" customFormat="false" ht="15" hidden="false" customHeight="false" outlineLevel="0" collapsed="false">
      <c r="A54" s="13"/>
      <c r="B54" s="13"/>
      <c r="C54" s="13"/>
      <c r="D54" s="22"/>
      <c r="E54" s="14" t="str">
        <f aca="false">IF(A54="","","Q"&amp;ROUNDUP(MONTH(DATEVALUE(A54))/3,0))</f>
        <v/>
      </c>
    </row>
    <row r="55" customFormat="false" ht="15" hidden="false" customHeight="false" outlineLevel="0" collapsed="false">
      <c r="A55" s="13"/>
      <c r="B55" s="13"/>
      <c r="C55" s="13"/>
      <c r="D55" s="22"/>
      <c r="E55" s="14" t="str">
        <f aca="false">IF(A55="","","Q"&amp;ROUNDUP(MONTH(DATEVALUE(A55))/3,0))</f>
        <v/>
      </c>
    </row>
    <row r="56" customFormat="false" ht="15" hidden="false" customHeight="false" outlineLevel="0" collapsed="false">
      <c r="A56" s="13"/>
      <c r="B56" s="13"/>
      <c r="C56" s="13"/>
      <c r="D56" s="22"/>
      <c r="E56" s="14" t="str">
        <f aca="false">IF(A56="","","Q"&amp;ROUNDUP(MONTH(DATEVALUE(A56))/3,0))</f>
        <v/>
      </c>
    </row>
    <row r="57" customFormat="false" ht="15" hidden="false" customHeight="false" outlineLevel="0" collapsed="false">
      <c r="A57" s="13"/>
      <c r="B57" s="13"/>
      <c r="C57" s="13"/>
      <c r="D57" s="22"/>
      <c r="E57" s="14" t="str">
        <f aca="false">IF(A57="","","Q"&amp;ROUNDUP(MONTH(DATEVALUE(A57))/3,0))</f>
        <v/>
      </c>
    </row>
    <row r="58" customFormat="false" ht="15" hidden="false" customHeight="false" outlineLevel="0" collapsed="false">
      <c r="A58" s="13"/>
      <c r="B58" s="13"/>
      <c r="C58" s="13"/>
      <c r="D58" s="22"/>
      <c r="E58" s="14" t="str">
        <f aca="false">IF(A58="","","Q"&amp;ROUNDUP(MONTH(DATEVALUE(A58))/3,0))</f>
        <v/>
      </c>
    </row>
    <row r="59" customFormat="false" ht="15" hidden="false" customHeight="false" outlineLevel="0" collapsed="false">
      <c r="A59" s="13"/>
      <c r="B59" s="13"/>
      <c r="C59" s="13"/>
      <c r="D59" s="22"/>
      <c r="E59" s="14" t="str">
        <f aca="false">IF(A59="","","Q"&amp;ROUNDUP(MONTH(DATEVALUE(A59))/3,0))</f>
        <v/>
      </c>
    </row>
    <row r="60" customFormat="false" ht="15" hidden="false" customHeight="false" outlineLevel="0" collapsed="false">
      <c r="A60" s="13"/>
      <c r="B60" s="13"/>
      <c r="C60" s="13"/>
      <c r="D60" s="22"/>
      <c r="E60" s="14" t="str">
        <f aca="false">IF(A60="","","Q"&amp;ROUNDUP(MONTH(DATEVALUE(A60))/3,0))</f>
        <v/>
      </c>
    </row>
    <row r="61" customFormat="false" ht="15" hidden="false" customHeight="false" outlineLevel="0" collapsed="false">
      <c r="A61" s="13"/>
      <c r="B61" s="13"/>
      <c r="C61" s="13"/>
      <c r="D61" s="22"/>
      <c r="E61" s="14" t="str">
        <f aca="false">IF(A61="","","Q"&amp;ROUNDUP(MONTH(DATEVALUE(A61))/3,0))</f>
        <v/>
      </c>
    </row>
    <row r="62" customFormat="false" ht="15" hidden="false" customHeight="false" outlineLevel="0" collapsed="false">
      <c r="A62" s="13"/>
      <c r="B62" s="13"/>
      <c r="C62" s="13"/>
      <c r="D62" s="22"/>
      <c r="E62" s="14" t="str">
        <f aca="false">IF(A62="","","Q"&amp;ROUNDUP(MONTH(DATEVALUE(A62))/3,0))</f>
        <v/>
      </c>
    </row>
    <row r="63" customFormat="false" ht="15" hidden="false" customHeight="false" outlineLevel="0" collapsed="false">
      <c r="A63" s="13"/>
      <c r="B63" s="13"/>
      <c r="C63" s="13"/>
      <c r="D63" s="22"/>
      <c r="E63" s="14" t="str">
        <f aca="false">IF(A63="","","Q"&amp;ROUNDUP(MONTH(DATEVALUE(A63))/3,0))</f>
        <v/>
      </c>
    </row>
    <row r="64" customFormat="false" ht="15" hidden="false" customHeight="false" outlineLevel="0" collapsed="false">
      <c r="A64" s="13"/>
      <c r="B64" s="13"/>
      <c r="C64" s="13"/>
      <c r="D64" s="22"/>
      <c r="E64" s="14" t="str">
        <f aca="false">IF(A64="","","Q"&amp;ROUNDUP(MONTH(DATEVALUE(A64))/3,0))</f>
        <v/>
      </c>
    </row>
    <row r="65" customFormat="false" ht="15" hidden="false" customHeight="false" outlineLevel="0" collapsed="false">
      <c r="A65" s="13"/>
      <c r="B65" s="13"/>
      <c r="C65" s="13"/>
      <c r="D65" s="22"/>
      <c r="E65" s="14" t="str">
        <f aca="false">IF(A65="","","Q"&amp;ROUNDUP(MONTH(DATEVALUE(A65))/3,0))</f>
        <v/>
      </c>
    </row>
    <row r="66" customFormat="false" ht="15" hidden="false" customHeight="false" outlineLevel="0" collapsed="false">
      <c r="A66" s="13"/>
      <c r="B66" s="13"/>
      <c r="C66" s="13"/>
      <c r="D66" s="22"/>
      <c r="E66" s="14" t="str">
        <f aca="false">IF(A66="","","Q"&amp;ROUNDUP(MONTH(DATEVALUE(A66))/3,0))</f>
        <v/>
      </c>
    </row>
    <row r="67" customFormat="false" ht="15" hidden="false" customHeight="false" outlineLevel="0" collapsed="false">
      <c r="A67" s="13"/>
      <c r="B67" s="13"/>
      <c r="C67" s="13"/>
      <c r="D67" s="22"/>
      <c r="E67" s="14" t="str">
        <f aca="false">IF(A67="","","Q"&amp;ROUNDUP(MONTH(DATEVALUE(A67))/3,0))</f>
        <v/>
      </c>
    </row>
    <row r="68" customFormat="false" ht="15" hidden="false" customHeight="false" outlineLevel="0" collapsed="false">
      <c r="A68" s="13"/>
      <c r="B68" s="13"/>
      <c r="C68" s="13"/>
      <c r="D68" s="22"/>
      <c r="E68" s="14" t="str">
        <f aca="false">IF(A68="","","Q"&amp;ROUNDUP(MONTH(DATEVALUE(A68))/3,0))</f>
        <v/>
      </c>
    </row>
    <row r="69" customFormat="false" ht="15" hidden="false" customHeight="false" outlineLevel="0" collapsed="false">
      <c r="A69" s="13"/>
      <c r="B69" s="13"/>
      <c r="C69" s="13"/>
      <c r="D69" s="22"/>
      <c r="E69" s="14" t="str">
        <f aca="false">IF(A69="","","Q"&amp;ROUNDUP(MONTH(DATEVALUE(A69))/3,0))</f>
        <v/>
      </c>
    </row>
    <row r="70" customFormat="false" ht="15" hidden="false" customHeight="false" outlineLevel="0" collapsed="false">
      <c r="A70" s="13"/>
      <c r="B70" s="13"/>
      <c r="C70" s="13"/>
      <c r="D70" s="22"/>
      <c r="E70" s="14" t="str">
        <f aca="false">IF(A70="","","Q"&amp;ROUNDUP(MONTH(DATEVALUE(A70))/3,0))</f>
        <v/>
      </c>
    </row>
    <row r="71" customFormat="false" ht="15" hidden="false" customHeight="false" outlineLevel="0" collapsed="false">
      <c r="A71" s="13"/>
      <c r="B71" s="13"/>
      <c r="C71" s="13"/>
      <c r="D71" s="22"/>
      <c r="E71" s="14" t="str">
        <f aca="false">IF(A71="","","Q"&amp;ROUNDUP(MONTH(DATEVALUE(A71))/3,0))</f>
        <v/>
      </c>
    </row>
    <row r="72" customFormat="false" ht="15" hidden="false" customHeight="false" outlineLevel="0" collapsed="false">
      <c r="A72" s="13"/>
      <c r="B72" s="13"/>
      <c r="C72" s="13"/>
      <c r="D72" s="22"/>
      <c r="E72" s="14" t="str">
        <f aca="false">IF(A72="","","Q"&amp;ROUNDUP(MONTH(DATEVALUE(A72))/3,0))</f>
        <v/>
      </c>
    </row>
    <row r="73" customFormat="false" ht="15" hidden="false" customHeight="false" outlineLevel="0" collapsed="false">
      <c r="A73" s="13"/>
      <c r="B73" s="13"/>
      <c r="C73" s="13"/>
      <c r="D73" s="22"/>
      <c r="E73" s="14" t="str">
        <f aca="false">IF(A73="","","Q"&amp;ROUNDUP(MONTH(DATEVALUE(A73))/3,0))</f>
        <v/>
      </c>
    </row>
    <row r="74" customFormat="false" ht="15" hidden="false" customHeight="false" outlineLevel="0" collapsed="false">
      <c r="A74" s="13"/>
      <c r="B74" s="13"/>
      <c r="C74" s="13"/>
      <c r="D74" s="22"/>
      <c r="E74" s="14" t="str">
        <f aca="false">IF(A74="","","Q"&amp;ROUNDUP(MONTH(DATEVALUE(A74))/3,0))</f>
        <v/>
      </c>
    </row>
    <row r="75" customFormat="false" ht="15" hidden="false" customHeight="false" outlineLevel="0" collapsed="false">
      <c r="A75" s="13"/>
      <c r="B75" s="13"/>
      <c r="C75" s="13"/>
      <c r="D75" s="22"/>
      <c r="E75" s="14" t="str">
        <f aca="false">IF(A75="","","Q"&amp;ROUNDUP(MONTH(DATEVALUE(A75))/3,0))</f>
        <v/>
      </c>
    </row>
    <row r="76" customFormat="false" ht="15" hidden="false" customHeight="false" outlineLevel="0" collapsed="false">
      <c r="A76" s="13"/>
      <c r="B76" s="13"/>
      <c r="C76" s="13"/>
      <c r="D76" s="22"/>
      <c r="E76" s="14" t="str">
        <f aca="false">IF(A76="","","Q"&amp;ROUNDUP(MONTH(DATEVALUE(A76))/3,0))</f>
        <v/>
      </c>
    </row>
    <row r="77" customFormat="false" ht="15" hidden="false" customHeight="false" outlineLevel="0" collapsed="false">
      <c r="A77" s="13"/>
      <c r="B77" s="13"/>
      <c r="C77" s="13"/>
      <c r="D77" s="22"/>
      <c r="E77" s="14" t="str">
        <f aca="false">IF(A77="","","Q"&amp;ROUNDUP(MONTH(DATEVALUE(A77))/3,0))</f>
        <v/>
      </c>
    </row>
    <row r="78" customFormat="false" ht="15" hidden="false" customHeight="false" outlineLevel="0" collapsed="false">
      <c r="A78" s="13"/>
      <c r="B78" s="13"/>
      <c r="C78" s="13"/>
      <c r="D78" s="22"/>
      <c r="E78" s="14" t="str">
        <f aca="false">IF(A78="","","Q"&amp;ROUNDUP(MONTH(DATEVALUE(A78))/3,0))</f>
        <v/>
      </c>
    </row>
    <row r="79" customFormat="false" ht="15" hidden="false" customHeight="false" outlineLevel="0" collapsed="false">
      <c r="A79" s="13"/>
      <c r="B79" s="13"/>
      <c r="C79" s="13"/>
      <c r="D79" s="22"/>
      <c r="E79" s="14" t="str">
        <f aca="false">IF(A79="","","Q"&amp;ROUNDUP(MONTH(DATEVALUE(A79))/3,0))</f>
        <v/>
      </c>
    </row>
    <row r="80" customFormat="false" ht="15" hidden="false" customHeight="false" outlineLevel="0" collapsed="false">
      <c r="A80" s="13"/>
      <c r="B80" s="13"/>
      <c r="C80" s="13"/>
      <c r="D80" s="22"/>
      <c r="E80" s="14" t="str">
        <f aca="false">IF(A80="","","Q"&amp;ROUNDUP(MONTH(DATEVALUE(A80))/3,0))</f>
        <v/>
      </c>
    </row>
    <row r="81" customFormat="false" ht="15" hidden="false" customHeight="false" outlineLevel="0" collapsed="false">
      <c r="A81" s="13"/>
      <c r="B81" s="13"/>
      <c r="C81" s="13"/>
      <c r="D81" s="22"/>
      <c r="E81" s="14" t="str">
        <f aca="false">IF(A81="","","Q"&amp;ROUNDUP(MONTH(DATEVALUE(A81))/3,0))</f>
        <v/>
      </c>
    </row>
    <row r="82" customFormat="false" ht="15" hidden="false" customHeight="false" outlineLevel="0" collapsed="false">
      <c r="A82" s="13"/>
      <c r="B82" s="13"/>
      <c r="C82" s="13"/>
      <c r="D82" s="22"/>
      <c r="E82" s="14" t="str">
        <f aca="false">IF(A82="","","Q"&amp;ROUNDUP(MONTH(DATEVALUE(A82))/3,0))</f>
        <v/>
      </c>
    </row>
    <row r="83" customFormat="false" ht="15" hidden="false" customHeight="false" outlineLevel="0" collapsed="false">
      <c r="A83" s="13"/>
      <c r="B83" s="13"/>
      <c r="C83" s="13"/>
      <c r="D83" s="22"/>
      <c r="E83" s="14" t="str">
        <f aca="false">IF(A83="","","Q"&amp;ROUNDUP(MONTH(DATEVALUE(A83))/3,0))</f>
        <v/>
      </c>
    </row>
    <row r="84" customFormat="false" ht="15" hidden="false" customHeight="false" outlineLevel="0" collapsed="false">
      <c r="A84" s="13"/>
      <c r="B84" s="13"/>
      <c r="C84" s="13"/>
      <c r="D84" s="22"/>
      <c r="E84" s="14" t="str">
        <f aca="false">IF(A84="","","Q"&amp;ROUNDUP(MONTH(DATEVALUE(A84))/3,0))</f>
        <v/>
      </c>
    </row>
    <row r="85" customFormat="false" ht="15" hidden="false" customHeight="false" outlineLevel="0" collapsed="false">
      <c r="A85" s="13"/>
      <c r="B85" s="13"/>
      <c r="C85" s="13"/>
      <c r="D85" s="22"/>
      <c r="E85" s="14" t="str">
        <f aca="false">IF(A85="","","Q"&amp;ROUNDUP(MONTH(DATEVALUE(A85))/3,0))</f>
        <v/>
      </c>
    </row>
    <row r="86" customFormat="false" ht="15" hidden="false" customHeight="false" outlineLevel="0" collapsed="false">
      <c r="A86" s="13"/>
      <c r="B86" s="13"/>
      <c r="C86" s="13"/>
      <c r="D86" s="22"/>
      <c r="E86" s="14" t="str">
        <f aca="false">IF(A86="","","Q"&amp;ROUNDUP(MONTH(DATEVALUE(A86))/3,0))</f>
        <v/>
      </c>
    </row>
    <row r="87" customFormat="false" ht="15" hidden="false" customHeight="false" outlineLevel="0" collapsed="false">
      <c r="A87" s="13"/>
      <c r="B87" s="13"/>
      <c r="C87" s="13"/>
      <c r="D87" s="22"/>
      <c r="E87" s="14" t="str">
        <f aca="false">IF(A87="","","Q"&amp;ROUNDUP(MONTH(DATEVALUE(A87))/3,0))</f>
        <v/>
      </c>
    </row>
    <row r="88" customFormat="false" ht="15" hidden="false" customHeight="false" outlineLevel="0" collapsed="false">
      <c r="A88" s="13"/>
      <c r="B88" s="13"/>
      <c r="C88" s="13"/>
      <c r="D88" s="22"/>
      <c r="E88" s="14" t="str">
        <f aca="false">IF(A88="","","Q"&amp;ROUNDUP(MONTH(DATEVALUE(A88))/3,0))</f>
        <v/>
      </c>
    </row>
    <row r="89" customFormat="false" ht="15" hidden="false" customHeight="false" outlineLevel="0" collapsed="false">
      <c r="A89" s="13"/>
      <c r="B89" s="13"/>
      <c r="C89" s="13"/>
      <c r="D89" s="22"/>
      <c r="E89" s="14" t="str">
        <f aca="false">IF(A89="","","Q"&amp;ROUNDUP(MONTH(DATEVALUE(A89))/3,0))</f>
        <v/>
      </c>
    </row>
    <row r="90" customFormat="false" ht="15" hidden="false" customHeight="false" outlineLevel="0" collapsed="false">
      <c r="A90" s="13"/>
      <c r="B90" s="13"/>
      <c r="C90" s="13"/>
      <c r="D90" s="22"/>
      <c r="E90" s="14" t="str">
        <f aca="false">IF(A90="","","Q"&amp;ROUNDUP(MONTH(DATEVALUE(A90))/3,0))</f>
        <v/>
      </c>
    </row>
    <row r="91" customFormat="false" ht="15" hidden="false" customHeight="false" outlineLevel="0" collapsed="false">
      <c r="A91" s="13"/>
      <c r="B91" s="13"/>
      <c r="C91" s="13"/>
      <c r="D91" s="22"/>
      <c r="E91" s="14" t="str">
        <f aca="false">IF(A91="","","Q"&amp;ROUNDUP(MONTH(DATEVALUE(A91))/3,0))</f>
        <v/>
      </c>
    </row>
    <row r="92" customFormat="false" ht="15" hidden="false" customHeight="false" outlineLevel="0" collapsed="false">
      <c r="A92" s="13"/>
      <c r="B92" s="13"/>
      <c r="C92" s="13"/>
      <c r="D92" s="22"/>
      <c r="E92" s="14" t="str">
        <f aca="false">IF(A92="","","Q"&amp;ROUNDUP(MONTH(DATEVALUE(A92))/3,0))</f>
        <v/>
      </c>
    </row>
    <row r="93" customFormat="false" ht="15" hidden="false" customHeight="false" outlineLevel="0" collapsed="false">
      <c r="A93" s="13"/>
      <c r="B93" s="13"/>
      <c r="C93" s="13"/>
      <c r="D93" s="22"/>
      <c r="E93" s="14" t="str">
        <f aca="false">IF(A93="","","Q"&amp;ROUNDUP(MONTH(DATEVALUE(A93))/3,0))</f>
        <v/>
      </c>
    </row>
    <row r="94" customFormat="false" ht="15" hidden="false" customHeight="false" outlineLevel="0" collapsed="false">
      <c r="A94" s="13"/>
      <c r="B94" s="13"/>
      <c r="C94" s="13"/>
      <c r="D94" s="22"/>
      <c r="E94" s="14" t="str">
        <f aca="false">IF(A94="","","Q"&amp;ROUNDUP(MONTH(DATEVALUE(A94))/3,0))</f>
        <v/>
      </c>
    </row>
    <row r="95" customFormat="false" ht="15" hidden="false" customHeight="false" outlineLevel="0" collapsed="false">
      <c r="A95" s="13"/>
      <c r="B95" s="13"/>
      <c r="C95" s="13"/>
      <c r="D95" s="22"/>
      <c r="E95" s="14" t="str">
        <f aca="false">IF(A95="","","Q"&amp;ROUNDUP(MONTH(DATEVALUE(A95))/3,0))</f>
        <v/>
      </c>
    </row>
    <row r="96" customFormat="false" ht="15" hidden="false" customHeight="false" outlineLevel="0" collapsed="false">
      <c r="A96" s="13"/>
      <c r="B96" s="13"/>
      <c r="C96" s="13"/>
      <c r="D96" s="22"/>
      <c r="E96" s="14" t="str">
        <f aca="false">IF(A96="","","Q"&amp;ROUNDUP(MONTH(DATEVALUE(A96))/3,0))</f>
        <v/>
      </c>
    </row>
    <row r="97" customFormat="false" ht="15" hidden="false" customHeight="false" outlineLevel="0" collapsed="false">
      <c r="A97" s="13"/>
      <c r="B97" s="13"/>
      <c r="C97" s="13"/>
      <c r="D97" s="22"/>
      <c r="E97" s="14" t="str">
        <f aca="false">IF(A97="","","Q"&amp;ROUNDUP(MONTH(DATEVALUE(A97))/3,0))</f>
        <v/>
      </c>
    </row>
    <row r="98" customFormat="false" ht="15" hidden="false" customHeight="false" outlineLevel="0" collapsed="false">
      <c r="A98" s="13"/>
      <c r="B98" s="13"/>
      <c r="C98" s="13"/>
      <c r="D98" s="22"/>
      <c r="E98" s="14" t="str">
        <f aca="false">IF(A98="","","Q"&amp;ROUNDUP(MONTH(DATEVALUE(A98))/3,0))</f>
        <v/>
      </c>
    </row>
    <row r="99" customFormat="false" ht="15" hidden="false" customHeight="false" outlineLevel="0" collapsed="false">
      <c r="A99" s="13"/>
      <c r="B99" s="13"/>
      <c r="C99" s="13"/>
      <c r="D99" s="22"/>
      <c r="E99" s="14" t="str">
        <f aca="false">IF(A99="","","Q"&amp;ROUNDUP(MONTH(DATEVALUE(A99))/3,0))</f>
        <v/>
      </c>
    </row>
    <row r="100" customFormat="false" ht="15" hidden="false" customHeight="false" outlineLevel="0" collapsed="false">
      <c r="A100" s="13"/>
      <c r="B100" s="13"/>
      <c r="C100" s="13"/>
      <c r="D100" s="22"/>
      <c r="E100" s="14" t="str">
        <f aca="false">IF(A100="","","Q"&amp;ROUNDUP(MONTH(DATEVALUE(A100))/3,0))</f>
        <v/>
      </c>
    </row>
    <row r="101" customFormat="false" ht="15" hidden="false" customHeight="false" outlineLevel="0" collapsed="false">
      <c r="A101" s="13"/>
      <c r="B101" s="13"/>
      <c r="C101" s="13"/>
      <c r="D101" s="22"/>
      <c r="E101" s="14" t="str">
        <f aca="false">IF(A101="","","Q"&amp;ROUNDUP(MONTH(DATEVALUE(A101))/3,0))</f>
        <v/>
      </c>
    </row>
    <row r="102" customFormat="false" ht="15" hidden="false" customHeight="false" outlineLevel="0" collapsed="false">
      <c r="A102" s="13"/>
      <c r="B102" s="13"/>
      <c r="C102" s="13"/>
      <c r="D102" s="22"/>
      <c r="E102" s="14" t="str">
        <f aca="false">IF(A102="","","Q"&amp;ROUNDUP(MONTH(DATEVALUE(A102))/3,0))</f>
        <v/>
      </c>
    </row>
    <row r="103" customFormat="false" ht="15" hidden="false" customHeight="false" outlineLevel="0" collapsed="false">
      <c r="A103" s="13"/>
      <c r="B103" s="13"/>
      <c r="C103" s="13"/>
      <c r="D103" s="22"/>
      <c r="E103" s="14" t="str">
        <f aca="false">IF(A103="","","Q"&amp;ROUNDUP(MONTH(DATEVALUE(A103))/3,0))</f>
        <v/>
      </c>
    </row>
    <row r="104" customFormat="false" ht="15" hidden="false" customHeight="false" outlineLevel="0" collapsed="false">
      <c r="A104" s="13"/>
      <c r="B104" s="13"/>
      <c r="C104" s="13"/>
      <c r="D104" s="22"/>
      <c r="E104" s="14" t="str">
        <f aca="false">IF(A104="","","Q"&amp;ROUNDUP(MONTH(DATEVALUE(A104))/3,0))</f>
        <v/>
      </c>
    </row>
    <row r="105" customFormat="false" ht="15" hidden="false" customHeight="false" outlineLevel="0" collapsed="false">
      <c r="A105" s="13"/>
      <c r="B105" s="13"/>
      <c r="C105" s="13"/>
      <c r="D105" s="22"/>
      <c r="E105" s="14" t="str">
        <f aca="false">IF(A105="","","Q"&amp;ROUNDUP(MONTH(DATEVALUE(A105))/3,0))</f>
        <v/>
      </c>
    </row>
    <row r="106" customFormat="false" ht="15" hidden="false" customHeight="false" outlineLevel="0" collapsed="false">
      <c r="A106" s="13"/>
      <c r="B106" s="13"/>
      <c r="C106" s="13"/>
      <c r="D106" s="22"/>
      <c r="E106" s="14" t="str">
        <f aca="false">IF(A106="","","Q"&amp;ROUNDUP(MONTH(DATEVALUE(A106))/3,0))</f>
        <v/>
      </c>
    </row>
    <row r="107" customFormat="false" ht="15" hidden="false" customHeight="false" outlineLevel="0" collapsed="false">
      <c r="A107" s="13"/>
      <c r="B107" s="13"/>
      <c r="C107" s="13"/>
      <c r="D107" s="22"/>
      <c r="E107" s="14" t="str">
        <f aca="false">IF(A107="","","Q"&amp;ROUNDUP(MONTH(DATEVALUE(A107))/3,0))</f>
        <v/>
      </c>
    </row>
    <row r="108" customFormat="false" ht="15" hidden="false" customHeight="false" outlineLevel="0" collapsed="false">
      <c r="A108" s="13"/>
      <c r="B108" s="13"/>
      <c r="C108" s="13"/>
      <c r="D108" s="22"/>
      <c r="E108" s="14" t="str">
        <f aca="false">IF(A108="","","Q"&amp;ROUNDUP(MONTH(DATEVALUE(A108))/3,0))</f>
        <v/>
      </c>
    </row>
    <row r="109" customFormat="false" ht="15" hidden="false" customHeight="false" outlineLevel="0" collapsed="false">
      <c r="A109" s="13"/>
      <c r="B109" s="13"/>
      <c r="C109" s="13"/>
      <c r="D109" s="22"/>
      <c r="E109" s="14" t="str">
        <f aca="false">IF(A109="","","Q"&amp;ROUNDUP(MONTH(DATEVALUE(A109))/3,0))</f>
        <v/>
      </c>
    </row>
    <row r="110" customFormat="false" ht="15" hidden="false" customHeight="false" outlineLevel="0" collapsed="false">
      <c r="A110" s="13"/>
      <c r="B110" s="13"/>
      <c r="C110" s="13"/>
      <c r="D110" s="22"/>
      <c r="E110" s="14" t="str">
        <f aca="false">IF(A110="","","Q"&amp;ROUNDUP(MONTH(DATEVALUE(A110))/3,0))</f>
        <v/>
      </c>
    </row>
    <row r="111" customFormat="false" ht="15" hidden="false" customHeight="false" outlineLevel="0" collapsed="false">
      <c r="A111" s="13"/>
      <c r="B111" s="13"/>
      <c r="C111" s="13"/>
      <c r="D111" s="22"/>
      <c r="E111" s="14" t="str">
        <f aca="false">IF(A111="","","Q"&amp;ROUNDUP(MONTH(DATEVALUE(A111))/3,0))</f>
        <v/>
      </c>
    </row>
    <row r="112" customFormat="false" ht="15" hidden="false" customHeight="false" outlineLevel="0" collapsed="false">
      <c r="A112" s="13"/>
      <c r="B112" s="13"/>
      <c r="C112" s="13"/>
      <c r="D112" s="22"/>
      <c r="E112" s="14" t="str">
        <f aca="false">IF(A112="","","Q"&amp;ROUNDUP(MONTH(DATEVALUE(A112))/3,0))</f>
        <v/>
      </c>
    </row>
    <row r="113" customFormat="false" ht="15" hidden="false" customHeight="false" outlineLevel="0" collapsed="false">
      <c r="A113" s="13"/>
      <c r="B113" s="13"/>
      <c r="C113" s="13"/>
      <c r="D113" s="22"/>
      <c r="E113" s="14" t="str">
        <f aca="false">IF(A113="","","Q"&amp;ROUNDUP(MONTH(DATEVALUE(A113))/3,0))</f>
        <v/>
      </c>
    </row>
    <row r="114" customFormat="false" ht="15" hidden="false" customHeight="false" outlineLevel="0" collapsed="false">
      <c r="A114" s="13"/>
      <c r="B114" s="13"/>
      <c r="C114" s="13"/>
      <c r="D114" s="22"/>
      <c r="E114" s="14" t="str">
        <f aca="false">IF(A114="","","Q"&amp;ROUNDUP(MONTH(DATEVALUE(A114))/3,0))</f>
        <v/>
      </c>
    </row>
    <row r="115" customFormat="false" ht="15" hidden="false" customHeight="false" outlineLevel="0" collapsed="false">
      <c r="A115" s="13"/>
      <c r="B115" s="13"/>
      <c r="C115" s="13"/>
      <c r="D115" s="22"/>
      <c r="E115" s="14" t="str">
        <f aca="false">IF(A115="","","Q"&amp;ROUNDUP(MONTH(DATEVALUE(A115))/3,0))</f>
        <v/>
      </c>
    </row>
    <row r="116" customFormat="false" ht="15" hidden="false" customHeight="false" outlineLevel="0" collapsed="false">
      <c r="A116" s="13"/>
      <c r="B116" s="13"/>
      <c r="C116" s="13"/>
      <c r="D116" s="22"/>
      <c r="E116" s="14" t="str">
        <f aca="false">IF(A116="","","Q"&amp;ROUNDUP(MONTH(DATEVALUE(A116))/3,0))</f>
        <v/>
      </c>
    </row>
    <row r="117" customFormat="false" ht="15" hidden="false" customHeight="false" outlineLevel="0" collapsed="false">
      <c r="A117" s="13"/>
      <c r="B117" s="13"/>
      <c r="C117" s="13"/>
      <c r="D117" s="22"/>
      <c r="E117" s="14" t="str">
        <f aca="false">IF(A117="","","Q"&amp;ROUNDUP(MONTH(DATEVALUE(A117))/3,0))</f>
        <v/>
      </c>
    </row>
    <row r="118" customFormat="false" ht="15" hidden="false" customHeight="false" outlineLevel="0" collapsed="false">
      <c r="A118" s="13"/>
      <c r="B118" s="13"/>
      <c r="C118" s="13"/>
      <c r="D118" s="22"/>
      <c r="E118" s="14" t="str">
        <f aca="false">IF(A118="","","Q"&amp;ROUNDUP(MONTH(DATEVALUE(A118))/3,0))</f>
        <v/>
      </c>
    </row>
    <row r="119" customFormat="false" ht="15" hidden="false" customHeight="false" outlineLevel="0" collapsed="false">
      <c r="A119" s="13"/>
      <c r="B119" s="13"/>
      <c r="C119" s="13"/>
      <c r="D119" s="22"/>
      <c r="E119" s="14" t="str">
        <f aca="false">IF(A119="","","Q"&amp;ROUNDUP(MONTH(DATEVALUE(A119))/3,0))</f>
        <v/>
      </c>
    </row>
    <row r="120" customFormat="false" ht="15" hidden="false" customHeight="false" outlineLevel="0" collapsed="false">
      <c r="A120" s="13"/>
      <c r="B120" s="13"/>
      <c r="C120" s="13"/>
      <c r="D120" s="22"/>
      <c r="E120" s="14" t="str">
        <f aca="false">IF(A120="","","Q"&amp;ROUNDUP(MONTH(DATEVALUE(A120))/3,0))</f>
        <v/>
      </c>
    </row>
    <row r="121" customFormat="false" ht="15" hidden="false" customHeight="false" outlineLevel="0" collapsed="false">
      <c r="A121" s="13"/>
      <c r="B121" s="13"/>
      <c r="C121" s="13"/>
      <c r="D121" s="22"/>
      <c r="E121" s="14" t="str">
        <f aca="false">IF(A121="","","Q"&amp;ROUNDUP(MONTH(DATEVALUE(A121))/3,0))</f>
        <v/>
      </c>
    </row>
    <row r="122" customFormat="false" ht="15" hidden="false" customHeight="false" outlineLevel="0" collapsed="false">
      <c r="A122" s="13"/>
      <c r="B122" s="13"/>
      <c r="C122" s="13"/>
      <c r="D122" s="22"/>
      <c r="E122" s="14" t="str">
        <f aca="false">IF(A122="","","Q"&amp;ROUNDUP(MONTH(DATEVALUE(A122))/3,0))</f>
        <v/>
      </c>
    </row>
    <row r="123" customFormat="false" ht="15" hidden="false" customHeight="false" outlineLevel="0" collapsed="false">
      <c r="A123" s="13"/>
      <c r="B123" s="13"/>
      <c r="C123" s="13"/>
      <c r="D123" s="22"/>
      <c r="E123" s="14" t="str">
        <f aca="false">IF(A123="","","Q"&amp;ROUNDUP(MONTH(DATEVALUE(A123))/3,0))</f>
        <v/>
      </c>
    </row>
    <row r="124" customFormat="false" ht="15" hidden="false" customHeight="false" outlineLevel="0" collapsed="false">
      <c r="A124" s="13"/>
      <c r="B124" s="13"/>
      <c r="C124" s="13"/>
      <c r="D124" s="22"/>
      <c r="E124" s="14" t="str">
        <f aca="false">IF(A124="","","Q"&amp;ROUNDUP(MONTH(DATEVALUE(A124))/3,0))</f>
        <v/>
      </c>
    </row>
    <row r="125" customFormat="false" ht="15" hidden="false" customHeight="false" outlineLevel="0" collapsed="false">
      <c r="A125" s="13"/>
      <c r="B125" s="13"/>
      <c r="C125" s="13"/>
      <c r="D125" s="22"/>
      <c r="E125" s="14" t="str">
        <f aca="false">IF(A125="","","Q"&amp;ROUNDUP(MONTH(DATEVALUE(A125))/3,0))</f>
        <v/>
      </c>
    </row>
    <row r="126" customFormat="false" ht="15" hidden="false" customHeight="false" outlineLevel="0" collapsed="false">
      <c r="A126" s="13"/>
      <c r="B126" s="13"/>
      <c r="C126" s="13"/>
      <c r="D126" s="22"/>
      <c r="E126" s="14" t="str">
        <f aca="false">IF(A126="","","Q"&amp;ROUNDUP(MONTH(DATEVALUE(A126))/3,0))</f>
        <v/>
      </c>
    </row>
    <row r="127" customFormat="false" ht="15" hidden="false" customHeight="false" outlineLevel="0" collapsed="false">
      <c r="A127" s="13"/>
      <c r="B127" s="13"/>
      <c r="C127" s="13"/>
      <c r="D127" s="22"/>
      <c r="E127" s="14" t="str">
        <f aca="false">IF(A127="","","Q"&amp;ROUNDUP(MONTH(DATEVALUE(A127))/3,0))</f>
        <v/>
      </c>
    </row>
    <row r="128" customFormat="false" ht="15" hidden="false" customHeight="false" outlineLevel="0" collapsed="false">
      <c r="A128" s="13"/>
      <c r="B128" s="13"/>
      <c r="C128" s="13"/>
      <c r="D128" s="22"/>
      <c r="E128" s="14" t="str">
        <f aca="false">IF(A128="","","Q"&amp;ROUNDUP(MONTH(DATEVALUE(A128))/3,0))</f>
        <v/>
      </c>
    </row>
    <row r="129" customFormat="false" ht="15" hidden="false" customHeight="false" outlineLevel="0" collapsed="false">
      <c r="A129" s="13"/>
      <c r="B129" s="13"/>
      <c r="C129" s="13"/>
      <c r="D129" s="22"/>
      <c r="E129" s="14" t="str">
        <f aca="false">IF(A129="","","Q"&amp;ROUNDUP(MONTH(DATEVALUE(A129))/3,0))</f>
        <v/>
      </c>
    </row>
    <row r="130" customFormat="false" ht="15" hidden="false" customHeight="false" outlineLevel="0" collapsed="false">
      <c r="A130" s="13"/>
      <c r="B130" s="13"/>
      <c r="C130" s="13"/>
      <c r="D130" s="22"/>
      <c r="E130" s="14" t="str">
        <f aca="false">IF(A130="","","Q"&amp;ROUNDUP(MONTH(DATEVALUE(A130))/3,0))</f>
        <v/>
      </c>
    </row>
    <row r="131" customFormat="false" ht="15" hidden="false" customHeight="false" outlineLevel="0" collapsed="false">
      <c r="A131" s="13"/>
      <c r="B131" s="13"/>
      <c r="C131" s="13"/>
      <c r="D131" s="22"/>
      <c r="E131" s="14" t="str">
        <f aca="false">IF(A131="","","Q"&amp;ROUNDUP(MONTH(DATEVALUE(A131))/3,0))</f>
        <v/>
      </c>
    </row>
    <row r="132" customFormat="false" ht="15" hidden="false" customHeight="false" outlineLevel="0" collapsed="false">
      <c r="A132" s="13"/>
      <c r="B132" s="13"/>
      <c r="C132" s="13"/>
      <c r="D132" s="22"/>
      <c r="E132" s="14" t="str">
        <f aca="false">IF(A132="","","Q"&amp;ROUNDUP(MONTH(DATEVALUE(A132))/3,0))</f>
        <v/>
      </c>
    </row>
    <row r="133" customFormat="false" ht="15" hidden="false" customHeight="false" outlineLevel="0" collapsed="false">
      <c r="A133" s="13"/>
      <c r="B133" s="13"/>
      <c r="C133" s="13"/>
      <c r="D133" s="22"/>
      <c r="E133" s="14" t="str">
        <f aca="false">IF(A133="","","Q"&amp;ROUNDUP(MONTH(DATEVALUE(A133))/3,0))</f>
        <v/>
      </c>
    </row>
    <row r="134" customFormat="false" ht="15" hidden="false" customHeight="false" outlineLevel="0" collapsed="false">
      <c r="A134" s="13"/>
      <c r="B134" s="13"/>
      <c r="C134" s="13"/>
      <c r="D134" s="22"/>
      <c r="E134" s="14" t="str">
        <f aca="false">IF(A134="","","Q"&amp;ROUNDUP(MONTH(DATEVALUE(A134))/3,0))</f>
        <v/>
      </c>
    </row>
    <row r="135" customFormat="false" ht="15" hidden="false" customHeight="false" outlineLevel="0" collapsed="false">
      <c r="A135" s="13"/>
      <c r="B135" s="13"/>
      <c r="C135" s="13"/>
      <c r="D135" s="22"/>
      <c r="E135" s="14" t="str">
        <f aca="false">IF(A135="","","Q"&amp;ROUNDUP(MONTH(DATEVALUE(A135))/3,0))</f>
        <v/>
      </c>
    </row>
    <row r="136" customFormat="false" ht="15" hidden="false" customHeight="false" outlineLevel="0" collapsed="false">
      <c r="A136" s="13"/>
      <c r="B136" s="13"/>
      <c r="C136" s="13"/>
      <c r="D136" s="22"/>
      <c r="E136" s="14" t="str">
        <f aca="false">IF(A136="","","Q"&amp;ROUNDUP(MONTH(DATEVALUE(A136))/3,0))</f>
        <v/>
      </c>
    </row>
    <row r="137" customFormat="false" ht="15" hidden="false" customHeight="false" outlineLevel="0" collapsed="false">
      <c r="A137" s="13"/>
      <c r="B137" s="13"/>
      <c r="C137" s="13"/>
      <c r="D137" s="22"/>
      <c r="E137" s="14" t="str">
        <f aca="false">IF(A137="","","Q"&amp;ROUNDUP(MONTH(DATEVALUE(A137))/3,0))</f>
        <v/>
      </c>
    </row>
    <row r="138" customFormat="false" ht="15" hidden="false" customHeight="false" outlineLevel="0" collapsed="false">
      <c r="A138" s="13"/>
      <c r="B138" s="13"/>
      <c r="C138" s="13"/>
      <c r="D138" s="22"/>
      <c r="E138" s="14" t="str">
        <f aca="false">IF(A138="","","Q"&amp;ROUNDUP(MONTH(DATEVALUE(A138))/3,0))</f>
        <v/>
      </c>
    </row>
    <row r="139" customFormat="false" ht="15" hidden="false" customHeight="false" outlineLevel="0" collapsed="false">
      <c r="A139" s="13"/>
      <c r="B139" s="13"/>
      <c r="C139" s="13"/>
      <c r="D139" s="22"/>
      <c r="E139" s="14" t="str">
        <f aca="false">IF(A139="","","Q"&amp;ROUNDUP(MONTH(DATEVALUE(A139))/3,0))</f>
        <v/>
      </c>
    </row>
    <row r="140" customFormat="false" ht="15" hidden="false" customHeight="false" outlineLevel="0" collapsed="false">
      <c r="A140" s="13"/>
      <c r="B140" s="13"/>
      <c r="C140" s="13"/>
      <c r="D140" s="22"/>
      <c r="E140" s="14" t="str">
        <f aca="false">IF(A140="","","Q"&amp;ROUNDUP(MONTH(DATEVALUE(A140))/3,0))</f>
        <v/>
      </c>
    </row>
    <row r="141" customFormat="false" ht="15" hidden="false" customHeight="false" outlineLevel="0" collapsed="false">
      <c r="A141" s="13"/>
      <c r="B141" s="13"/>
      <c r="C141" s="13"/>
      <c r="D141" s="22"/>
      <c r="E141" s="14" t="str">
        <f aca="false">IF(A141="","","Q"&amp;ROUNDUP(MONTH(DATEVALUE(A141))/3,0))</f>
        <v/>
      </c>
    </row>
    <row r="142" customFormat="false" ht="15" hidden="false" customHeight="false" outlineLevel="0" collapsed="false">
      <c r="A142" s="13"/>
      <c r="B142" s="13"/>
      <c r="C142" s="13"/>
      <c r="D142" s="22"/>
      <c r="E142" s="14" t="str">
        <f aca="false">IF(A142="","","Q"&amp;ROUNDUP(MONTH(DATEVALUE(A142))/3,0))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