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tart Here" sheetId="1" state="visible" r:id="rId3"/>
    <sheet name="Dashboard" sheetId="2" state="visible" r:id="rId4"/>
    <sheet name="Details" sheetId="3" state="visible" r:id="rId5"/>
    <sheet name="Balan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<sst xmlns="http://schemas.openxmlformats.org/spreadsheetml/2006/main" count="92" uniqueCount="71">
  <si>
    <t xml:space="preserve">Net Worth Tracker &amp; Annual Money Dashboard</t>
  </si>
  <si>
    <t xml:space="preserve">Simple Sheets Co. — Excel + Google Sheets</t>
  </si>
  <si>
    <t xml:space="preserve">Setup</t>
  </si>
  <si>
    <t xml:space="preserve">1. Once a month, enter the balance of every account (cash, investments, property, and debts) in that month's column.</t>
  </si>
  <si>
    <t xml:space="preserve">2. Net worth, month-over-month change, and the split between liquid and long-term assets calculate.</t>
  </si>
  <si>
    <t xml:space="preserve">3. The Dashboard shows the year's trend and your debt-to-asset ratio.</t>
  </si>
  <si>
    <t xml:space="preserve">Conventions</t>
  </si>
  <si>
    <t xml:space="preserve">• Yellow cells with blue text are inputs. Type over the sample numbers.</t>
  </si>
  <si>
    <t xml:space="preserve">• Black text is a formula. Leave it alone unless you know what you're changing.</t>
  </si>
  <si>
    <t xml:space="preserve">• Green text pulls from another tab.</t>
  </si>
  <si>
    <t xml:space="preserve">• Works in Excel 2016+ and Google Sheets (File &gt; Import &gt; Upload &gt; Replace). No macros.</t>
  </si>
  <si>
    <t xml:space="preserve">For planning and educational use only. Not financial, legal, or tax advice. Every number is an estimate you should verify for your own business.</t>
  </si>
  <si>
    <t xml:space="preserve">Net Worth Dashboard</t>
  </si>
  <si>
    <t xml:space="preserve">Where you stand, and which way it's moving.</t>
  </si>
  <si>
    <t xml:space="preserve">NET WORTH (LATEST)</t>
  </si>
  <si>
    <t xml:space="preserve">CHANGE THIS YEAR</t>
  </si>
  <si>
    <t xml:space="preserve">CHANGE THIS YEAR %</t>
  </si>
  <si>
    <t xml:space="preserve">MONTHS OF EXPENSES IN CASH</t>
  </si>
  <si>
    <t xml:space="preserve">CASH SHARE OF ASSETS</t>
  </si>
  <si>
    <t xml:space="preserve">STARTED THE YEAR AT</t>
  </si>
  <si>
    <t xml:space="preserve">Mix</t>
  </si>
  <si>
    <t xml:space="preserve">Cash</t>
  </si>
  <si>
    <t xml:space="preserve">Investments</t>
  </si>
  <si>
    <t xml:space="preserve">Property</t>
  </si>
  <si>
    <t xml:space="preserve">Year Dashboard</t>
  </si>
  <si>
    <t xml:space="preserve">Latest net worth</t>
  </si>
  <si>
    <t xml:space="preserve">Net worth in January</t>
  </si>
  <si>
    <t xml:space="preserve">Change this year</t>
  </si>
  <si>
    <t xml:space="preserve">Change this year %</t>
  </si>
  <si>
    <t xml:space="preserve">Liquid (cash) share of assets</t>
  </si>
  <si>
    <t xml:space="preserve">Months of expenses in cash (enter monthly expenses →)</t>
  </si>
  <si>
    <t xml:space="preserve">Month</t>
  </si>
  <si>
    <t xml:space="preserve">Net worth</t>
  </si>
  <si>
    <t xml:space="preserve">Change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</si>
  <si>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</si>
  <si>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</si>
  <si>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</si>
  <si>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</si>
  <si>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</si>
  <si>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</si>
  <si>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</si>
  <si>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</si>
  <si>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</si>
  <si>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</si>
  <si>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</si>
  <si>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</si>
  <si>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Monthly Balances</t>
  </si>
  <si>
    <t xml:space="preserve">Enter end-of-month balances.</t>
  </si>
  <si>
    <t xml:space="preserve">How to use: type your numbers in the yellow cells (blue text). Everything else calculates.</t>
  </si>
  <si>
    <t xml:space="preserve">Account</t>
  </si>
  <si>
    <t xml:space="preserve">Type</t>
  </si>
  <si>
    <t xml:space="preserve">Checking</t>
  </si>
  <si>
    <t xml:space="preserve">Savings / emergency</t>
  </si>
  <si>
    <t xml:space="preserve">401(k)</t>
  </si>
  <si>
    <t xml:space="preserve">Investment</t>
  </si>
  <si>
    <t xml:space="preserve">Roth IRA</t>
  </si>
  <si>
    <t xml:space="preserve">Brokerage</t>
  </si>
  <si>
    <t xml:space="preserve">Home (est. value)</t>
  </si>
  <si>
    <t xml:space="preserve">Car (est. value)</t>
  </si>
  <si>
    <t xml:space="preserve">Mortgage</t>
  </si>
  <si>
    <t xml:space="preserve">Debt</t>
  </si>
  <si>
    <t xml:space="preserve">Car loan</t>
  </si>
  <si>
    <t xml:space="preserve">Credit cards</t>
  </si>
  <si>
    <t xml:space="preserve">Student loan</t>
  </si>
  <si>
    <t xml:space="preserve">Total cash</t>
  </si>
  <si>
    <t xml:space="preserve">Total investments</t>
  </si>
  <si>
    <t xml:space="preserve">Total property</t>
  </si>
  <si>
    <t xml:space="preserve">Total debt</t>
  </si>
  <si>
    <t xml:space="preserve">NET WORTH</t>
  </si>
  <si>
    <t xml:space="preserve">Change vs prior month</t>
  </si>
  <si>
    <t xml:space="preserve">Debt-to-asset ratio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</si>
</sst>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;\(0.0%\);\-"/>
    <numFmt numFmtId="167" formatCode="#,##0.0;\(#,##0.0\);\-"/>
    <numFmt numFmtId="168" formatCode="#,##0.00;\(#,##0.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2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0"/>
      <color rgb="FF1F2A2C"/>
      <name val="Arial"/>
      <family val="0"/>
      <charset val="1"/>
    </font>
    <font>
      <i val="true"/>
      <sz val="10"/>
      <color rgb="FF6B7A7C"/>
      <name val="Arial"/>
      <family val="0"/>
      <charset val="1"/>
    </font>
    <font>
      <b val="true"/>
      <sz val="9"/>
      <color rgb="FF6B7A7C"/>
      <name val="Arial"/>
      <family val="0"/>
      <charset val="1"/>
    </font>
    <font>
      <b val="true"/>
      <sz val="20"/>
      <color rgb="FFC7813F"/>
      <name val="Arial"/>
      <family val="0"/>
      <charset val="1"/>
    </font>
    <font>
      <b val="true"/>
      <sz val="20"/>
      <color rgb="FF2E6F7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4F1EC"/>
        <bgColor rgb="FFFBF6E9"/>
      </patternFill>
    </fill>
    <fill>
      <patternFill patternType="solid">
        <fgColor rgb="FFE7E6E6"/>
        <bgColor rgb="FFF4F1EC"/>
      </patternFill>
    </fill>
    <fill>
      <patternFill patternType="solid">
        <fgColor rgb="FFFFE9A8"/>
        <bgColor rgb="FFFBF6E9"/>
      </patternFill>
    </fill>
    <fill>
      <patternFill patternType="solid">
        <fgColor rgb="FF2E6F73"/>
        <bgColor rgb="FF008080"/>
      </patternFill>
    </fill>
    <fill>
      <patternFill patternType="solid">
        <fgColor rgb="FFFBF6E9"/>
        <bgColor rgb="FFF4F1E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4CC"/>
      </left>
      <right style="thin">
        <color rgb="FFD9D4CC"/>
      </right>
      <top style="thin">
        <color rgb="FFD9D4CC"/>
      </top>
      <bottom/>
      <diagonal/>
    </border>
    <border diagonalUp="false" diagonalDown="false">
      <left style="thin">
        <color rgb="FFD9D4CC"/>
      </left>
      <right style="thin">
        <color rgb="FFD9D4CC"/>
      </right>
      <top/>
      <bottom style="thin">
        <color rgb="FFD9D4CC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F73"/>
      <rgbColor rgb="FFBFBFBF"/>
      <rgbColor rgb="FF878787"/>
      <rgbColor rgb="FF9999FF"/>
      <rgbColor rgb="FF993366"/>
      <rgbColor rgb="FFFBF6E9"/>
      <rgbColor rgb="FFF9F9F9"/>
      <rgbColor rgb="FF660066"/>
      <rgbColor rgb="FFC7813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1EC"/>
      <rgbColor rgb="FFE7E6E6"/>
      <rgbColor rgb="FFFFE9A8"/>
      <rgbColor rgb="FF99CCFF"/>
      <rgbColor rgb="FFFF99CC"/>
      <rgbColor rgb="FFCC99FF"/>
      <rgbColor rgb="FFD9D4CC"/>
      <rgbColor rgb="FF4F81BD"/>
      <rgbColor rgb="FF33CCCC"/>
      <rgbColor rgb="FF99CC00"/>
      <rgbColor rgb="FFFFCC00"/>
      <rgbColor rgb="FFFF9900"/>
      <rgbColor rgb="FFFF6600"/>
      <rgbColor rgb="FF666666"/>
      <rgbColor rgb="FFB8B2A7"/>
      <rgbColor rgb="FF003366"/>
      <rgbColor rgb="FF6B7A7C"/>
      <rgbColor rgb="FF003300"/>
      <rgbColor rgb="FF333300"/>
      <rgbColor rgb="FF993300"/>
      <rgbColor rgb="FF993366"/>
      <rgbColor rgb="FF333399"/>
      <rgbColor rgb="FF1F2A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worth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Details!B10</c:f>
              <c:strCache>
                <c:ptCount val="1"/>
                <c:pt idx="0">
                  <c:v>Net worth</c:v>
                </c:pt>
              </c:strCache>
            </c:strRef>
          </c:tx>
          <c:spPr>
            <a:solidFill>
              <a:srgbClr val="2e6f73"/>
            </a:solidFill>
            <a:ln w="28080">
              <a:solidFill>
                <a:srgbClr val="2e6f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Details!$A$11:$A$22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Details!$B$11:$B$22</c:f>
              <c:numCache>
                <c:formatCode>\$#,##0;"($"#,##0\);\-</c:formatCode>
                <c:ptCount val="12"/>
                <c:pt idx="0">
                  <c:v>146000</c:v>
                </c:pt>
                <c:pt idx="1">
                  <c:v>151920</c:v>
                </c:pt>
                <c:pt idx="2">
                  <c:v>157841</c:v>
                </c:pt>
                <c:pt idx="3">
                  <c:v>163761</c:v>
                </c:pt>
                <c:pt idx="4">
                  <c:v>169682</c:v>
                </c:pt>
                <c:pt idx="5">
                  <c:v>175602</c:v>
                </c:pt>
                <c:pt idx="6">
                  <c:v>181522</c:v>
                </c:pt>
                <c:pt idx="7">
                  <c:v>187443</c:v>
                </c:pt>
                <c:pt idx="8">
                  <c:v>193363</c:v>
                </c:pt>
                <c:pt idx="9">
                  <c:v>199284</c:v>
                </c:pt>
                <c:pt idx="10">
                  <c:v>205204</c:v>
                </c:pt>
                <c:pt idx="11">
                  <c:v>211124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832221"/>
        <c:axId val="34645049"/>
      </c:lineChart>
      <c:catAx>
        <c:axId val="208322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645049"/>
        <c:crosses val="autoZero"/>
        <c:auto val="1"/>
        <c:lblAlgn val="ctr"/>
        <c:lblOffset val="100"/>
        <c:noMultiLvlLbl val="0"/>
      </c:catAx>
      <c:valAx>
        <c:axId val="346450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8322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Asset mix (latest)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e6f7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7813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b8b2a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Dashboard!$N$14:$N$16</c:f>
              <c:strCache>
                <c:ptCount val="3"/>
                <c:pt idx="0">
                  <c:v>Cash</c:v>
                </c:pt>
                <c:pt idx="1">
                  <c:v>Investments</c:v>
                </c:pt>
                <c:pt idx="2">
                  <c:v>Property</c:v>
                </c:pt>
              </c:strCache>
            </c:strRef>
          </c:cat>
          <c:val>
            <c:numRef>
              <c:f>Dashboard!$O$14:$O$16</c:f>
              <c:numCache>
                <c:formatCode>General</c:formatCode>
                <c:ptCount val="3"/>
                <c:pt idx="0">
                  <c:v>14274</c:v>
                </c:pt>
                <c:pt idx="1">
                  <c:v>72108</c:v>
                </c:pt>
                <c:pt idx="2">
                  <c:v>419688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Assets vs. debt (latest 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Dashboard!O13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2e6f73"/>
            </a:solidFill>
            <a:ln w="9360">
              <a:solidFill>
                <a:srgbClr val="2e6f73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Dashboard!$N$14:$N$16</c:f>
              <c:strCache>
                <c:ptCount val="3"/>
                <c:pt idx="0">
                  <c:v>Cash</c:v>
                </c:pt>
                <c:pt idx="1">
                  <c:v>Investments</c:v>
                </c:pt>
                <c:pt idx="2">
                  <c:v>Property</c:v>
                </c:pt>
              </c:strCache>
            </c:strRef>
          </c:cat>
          <c:val>
            <c:numRef>
              <c:f>Dashboard!$O$14:$O$16</c:f>
              <c:numCache>
                <c:formatCode>General</c:formatCode>
                <c:ptCount val="3"/>
                <c:pt idx="0">
                  <c:v>14274</c:v>
                </c:pt>
                <c:pt idx="1">
                  <c:v>72108</c:v>
                </c:pt>
                <c:pt idx="2">
                  <c:v>419688</c:v>
                </c:pt>
              </c:numCache>
            </c:numRef>
          </c:val>
        </c:ser>
        <c:gapWidth val="150"/>
        <c:overlap val="0"/>
        <c:axId val="2057432"/>
        <c:axId val="2414584"/>
      </c:barChart>
      <c:catAx>
        <c:axId val="2057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4584"/>
        <c:crosses val="autoZero"/>
        <c:auto val="1"/>
        <c:lblAlgn val="ctr"/>
        <c:lblOffset val="100"/>
        <c:noMultiLvlLbl val="0"/>
      </c:catAx>
      <c:valAx>
        <c:axId val="24145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74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70560</xdr:rowOff>
    </xdr:from>
    <xdr:to>
      <xdr:col>6</xdr:col>
      <xdr:colOff>701280</xdr:colOff>
      <xdr:row>26</xdr:row>
      <xdr:rowOff>92880</xdr:rowOff>
    </xdr:to>
    <xdr:graphicFrame>
      <xdr:nvGraphicFramePr>
        <xdr:cNvPr id="0" name="Chart 1"/>
        <xdr:cNvGraphicFramePr/>
      </xdr:nvGraphicFramePr>
      <xdr:xfrm>
        <a:off x="266760" y="24004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28</xdr:row>
      <xdr:rowOff>70200</xdr:rowOff>
    </xdr:from>
    <xdr:to>
      <xdr:col>10</xdr:col>
      <xdr:colOff>132840</xdr:colOff>
      <xdr:row>43</xdr:row>
      <xdr:rowOff>92520</xdr:rowOff>
    </xdr:to>
    <xdr:graphicFrame>
      <xdr:nvGraphicFramePr>
        <xdr:cNvPr id="1" name="Chart 2"/>
        <xdr:cNvGraphicFramePr/>
      </xdr:nvGraphicFramePr>
      <xdr:xfrm>
        <a:off x="7201080" y="563868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70200</xdr:rowOff>
    </xdr:from>
    <xdr:to>
      <xdr:col>6</xdr:col>
      <xdr:colOff>701280</xdr:colOff>
      <xdr:row>45</xdr:row>
      <xdr:rowOff>71640</xdr:rowOff>
    </xdr:to>
    <xdr:graphicFrame>
      <xdr:nvGraphicFramePr>
        <xdr:cNvPr id="2" name="Chart 3"/>
        <xdr:cNvGraphicFramePr/>
      </xdr:nvGraphicFramePr>
      <xdr:xfrm>
        <a:off x="266760" y="5638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5" customFormat="false" ht="15" hidden="false" customHeight="false" outlineLevel="0" collapsed="false">
      <c r="A15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O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9" min="2" style="0" width="13"/>
  </cols>
  <sheetData>
    <row r="2" customFormat="false" ht="24.45" hidden="false" customHeight="false" outlineLevel="0" collapsed="false">
      <c r="B2" s="5" t="s">
        <v>12</v>
      </c>
    </row>
    <row r="3" customFormat="false" ht="15" hidden="false" customHeight="false" outlineLevel="0" collapsed="false">
      <c r="B3" s="6" t="s">
        <v>13</v>
      </c>
    </row>
    <row r="5" customFormat="false" ht="15.75" hidden="false" customHeight="true" outlineLevel="0" collapsed="false">
      <c r="B5" s="7" t="s">
        <v>14</v>
      </c>
      <c r="C5" s="7"/>
      <c r="D5" s="7"/>
      <c r="E5" s="7" t="s">
        <v>15</v>
      </c>
      <c r="F5" s="7"/>
      <c r="G5" s="7"/>
      <c r="H5" s="7" t="s">
        <v>16</v>
      </c>
      <c r="I5" s="7"/>
      <c r="J5" s="7"/>
      <c r="K5" s="7" t="s">
        <v>17</v>
      </c>
      <c r="L5" s="7"/>
      <c r="M5" s="7"/>
    </row>
    <row r="6" customFormat="false" ht="21.75" hidden="false" customHeight="true" outlineLevel="0" collapsed="false">
      <c r="B6" s="8" t="n">
        <f aca="false">Details!B3</f>
        <v>211124</v>
      </c>
      <c r="C6" s="8"/>
      <c r="D6" s="8"/>
      <c r="E6" s="9" t="n">
        <f aca="false">Details!B5</f>
        <v>65124</v>
      </c>
      <c r="F6" s="9"/>
      <c r="G6" s="9"/>
      <c r="H6" s="10" t="n">
        <f aca="false">Details!B6</f>
        <v>0.446054794520548</v>
      </c>
      <c r="I6" s="10"/>
      <c r="J6" s="10"/>
      <c r="K6" s="11" t="n">
        <f aca="false">Details!B8</f>
        <v>3.39857142857143</v>
      </c>
      <c r="L6" s="11"/>
      <c r="M6" s="11"/>
    </row>
    <row r="7" customFormat="false" ht="12" hidden="false" customHeight="true" outlineLevel="0" collapsed="false">
      <c r="B7" s="8"/>
      <c r="C7" s="8"/>
      <c r="D7" s="8"/>
      <c r="E7" s="9"/>
      <c r="F7" s="9"/>
      <c r="G7" s="9"/>
      <c r="H7" s="10"/>
      <c r="I7" s="10"/>
      <c r="J7" s="10"/>
      <c r="K7" s="11"/>
      <c r="L7" s="11"/>
      <c r="M7" s="11"/>
    </row>
    <row r="9" customFormat="false" ht="15.75" hidden="false" customHeight="true" outlineLevel="0" collapsed="false">
      <c r="B9" s="7" t="s">
        <v>18</v>
      </c>
      <c r="C9" s="7"/>
      <c r="D9" s="7"/>
      <c r="E9" s="7" t="s">
        <v>19</v>
      </c>
      <c r="F9" s="7"/>
      <c r="G9" s="7"/>
    </row>
    <row r="10" customFormat="false" ht="21.75" hidden="false" customHeight="true" outlineLevel="0" collapsed="false">
      <c r="B10" s="10" t="n">
        <f aca="false">Details!B7</f>
        <v>0.0282055842077183</v>
      </c>
      <c r="C10" s="10"/>
      <c r="D10" s="10"/>
      <c r="E10" s="9" t="n">
        <f aca="false">Details!B4</f>
        <v>146000</v>
      </c>
      <c r="F10" s="9"/>
      <c r="G10" s="9"/>
    </row>
    <row r="11" customFormat="false" ht="12" hidden="false" customHeight="true" outlineLevel="0" collapsed="false">
      <c r="B11" s="10"/>
      <c r="C11" s="10"/>
      <c r="D11" s="10"/>
      <c r="E11" s="9"/>
      <c r="F11" s="9"/>
      <c r="G11" s="9"/>
    </row>
    <row r="13" customFormat="false" ht="15" hidden="false" customHeight="false" outlineLevel="0" collapsed="false">
      <c r="N13" s="0" t="s">
        <v>20</v>
      </c>
    </row>
    <row r="14" customFormat="false" ht="15" hidden="false" customHeight="false" outlineLevel="0" collapsed="false">
      <c r="N14" s="0" t="s">
        <v>21</v>
      </c>
      <c r="O14" s="0" t="n">
        <f aca="false">LOOKUP(2,1/(Balances!C23:N23&lt;&gt;0),Balances!C23:N23)</f>
        <v>14274</v>
      </c>
    </row>
    <row r="15" customFormat="false" ht="15" hidden="false" customHeight="false" outlineLevel="0" collapsed="false">
      <c r="N15" s="0" t="s">
        <v>22</v>
      </c>
      <c r="O15" s="0" t="n">
        <f aca="false">LOOKUP(2,1/(Balances!C24:N24&lt;&gt;0),Balances!C24:N24)</f>
        <v>72108</v>
      </c>
    </row>
    <row r="16" customFormat="false" ht="15" hidden="false" customHeight="false" outlineLevel="0" collapsed="false">
      <c r="N16" s="0" t="s">
        <v>23</v>
      </c>
      <c r="O16" s="0" t="n">
        <f aca="false">LOOKUP(2,1/(Balances!C25:N25&lt;&gt;0),Balances!C25:N25)</f>
        <v>419688</v>
      </c>
    </row>
  </sheetData>
  <mergeCells count="12">
    <mergeCell ref="B5:D5"/>
    <mergeCell ref="E5:G5"/>
    <mergeCell ref="H5:J5"/>
    <mergeCell ref="K5:M5"/>
    <mergeCell ref="B6:D7"/>
    <mergeCell ref="E6:G7"/>
    <mergeCell ref="H6:J7"/>
    <mergeCell ref="K6:M7"/>
    <mergeCell ref="B9:D9"/>
    <mergeCell ref="E9:G9"/>
    <mergeCell ref="B10:D11"/>
    <mergeCell ref="E10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24</v>
      </c>
    </row>
    <row r="3" customFormat="false" ht="15" hidden="false" customHeight="false" outlineLevel="0" collapsed="false">
      <c r="A3" s="12" t="s">
        <v>25</v>
      </c>
      <c r="B3" s="13" t="n">
        <f aca="false">LOOKUP(2,1/(Balances!C27:N27&lt;&gt;""),Balances!C27:N27)</f>
        <v>211124</v>
      </c>
    </row>
    <row r="4" customFormat="false" ht="15" hidden="false" customHeight="false" outlineLevel="0" collapsed="false">
      <c r="A4" s="14" t="s">
        <v>26</v>
      </c>
      <c r="B4" s="15" t="n">
        <f aca="false">Balances!C27</f>
        <v>146000</v>
      </c>
    </row>
    <row r="5" customFormat="false" ht="15" hidden="false" customHeight="false" outlineLevel="0" collapsed="false">
      <c r="A5" s="12" t="s">
        <v>27</v>
      </c>
      <c r="B5" s="16" t="n">
        <f aca="false">IF(B3="","",B3-B4)</f>
        <v>65124</v>
      </c>
    </row>
    <row r="6" customFormat="false" ht="15" hidden="false" customHeight="false" outlineLevel="0" collapsed="false">
      <c r="A6" s="14" t="s">
        <v>28</v>
      </c>
      <c r="B6" s="17" t="n">
        <f aca="false">IF(OR(B4="",B4=0),"",B5/B4)</f>
        <v>0.446054794520548</v>
      </c>
    </row>
    <row r="7" customFormat="false" ht="15" hidden="false" customHeight="false" outlineLevel="0" collapsed="false">
      <c r="A7" s="14" t="s">
        <v>29</v>
      </c>
      <c r="B7" s="18" t="n">
        <f aca="false">LOOKUP(2,1/(Balances!C23:N23&lt;&gt;0),Balances!C23:N23)/(LOOKUP(2,1/(Balances!C23:N23&lt;&gt;0),Balances!C23:N23)+LOOKUP(2,1/(Balances!C24:N24&lt;&gt;0),Balances!C24:N24)+LOOKUP(2,1/(Balances!C25:N25&lt;&gt;0),Balances!C25:N25))</f>
        <v>0.0282055842077183</v>
      </c>
    </row>
    <row r="8" customFormat="false" ht="15" hidden="false" customHeight="false" outlineLevel="0" collapsed="false">
      <c r="A8" s="14" t="s">
        <v>30</v>
      </c>
      <c r="B8" s="19" t="n">
        <f aca="false">IF(C8=0,0,LOOKUP(2,1/(Balances!C23:N23&lt;&gt;0),Balances!C23:N23)/C8)</f>
        <v>3.39857142857143</v>
      </c>
      <c r="C8" s="20" t="n">
        <v>4200</v>
      </c>
    </row>
    <row r="10" customFormat="false" ht="30" hidden="false" customHeight="true" outlineLevel="0" collapsed="false">
      <c r="A10" s="21" t="s">
        <v>31</v>
      </c>
      <c r="B10" s="21" t="s">
        <v>32</v>
      </c>
      <c r="C10" s="21" t="s">
        <v>33</v>
      </c>
    </row>
    <row r="11" customFormat="false" ht="15" hidden="false" customHeight="false" outlineLevel="0" collapsed="false">
      <c r="A11" s="14" t="s">
        <v>34</v>
      </c>
      <c r="B11" s="15" t="n">
        <f aca="false">Balances!C27</f>
        <v>146000</v>
      </c>
      <c r="C11" s="15" t="str">
        <f aca="false">""</f>
        <v/>
      </c>
    </row>
    <row r="12" customFormat="false" ht="15" hidden="false" customHeight="false" outlineLevel="0" collapsed="false">
      <c r="A12" s="14" t="s">
        <v>35</v>
      </c>
      <c r="B12" s="15" t="n">
        <f aca="false">Balances!D27</f>
        <v>151920</v>
      </c>
      <c r="C12" s="15" t="n">
        <f aca="false">Balances!D28</f>
        <v>5920</v>
      </c>
    </row>
    <row r="13" customFormat="false" ht="15" hidden="false" customHeight="false" outlineLevel="0" collapsed="false">
      <c r="A13" s="14" t="s">
        <v>36</v>
      </c>
      <c r="B13" s="15" t="n">
        <f aca="false">Balances!E27</f>
        <v>157841</v>
      </c>
      <c r="C13" s="15" t="n">
        <f aca="false">Balances!E28</f>
        <v>5921</v>
      </c>
    </row>
    <row r="14" customFormat="false" ht="15" hidden="false" customHeight="false" outlineLevel="0" collapsed="false">
      <c r="A14" s="14" t="s">
        <v>37</v>
      </c>
      <c r="B14" s="15" t="n">
        <f aca="false">Balances!F27</f>
        <v>163761</v>
      </c>
      <c r="C14" s="15" t="n">
        <f aca="false">Balances!F28</f>
        <v>5920</v>
      </c>
    </row>
    <row r="15" customFormat="false" ht="15" hidden="false" customHeight="false" outlineLevel="0" collapsed="false">
      <c r="A15" s="14" t="s">
        <v>38</v>
      </c>
      <c r="B15" s="15" t="n">
        <f aca="false">Balances!G27</f>
        <v>169682</v>
      </c>
      <c r="C15" s="15" t="n">
        <f aca="false">Balances!G28</f>
        <v>5921</v>
      </c>
    </row>
    <row r="16" customFormat="false" ht="15" hidden="false" customHeight="false" outlineLevel="0" collapsed="false">
      <c r="A16" s="14" t="s">
        <v>39</v>
      </c>
      <c r="B16" s="15" t="n">
        <f aca="false">Balances!H27</f>
        <v>175602</v>
      </c>
      <c r="C16" s="15" t="n">
        <f aca="false">Balances!H28</f>
        <v>5920</v>
      </c>
    </row>
    <row r="17" customFormat="false" ht="15" hidden="false" customHeight="false" outlineLevel="0" collapsed="false">
      <c r="A17" s="14" t="s">
        <v>40</v>
      </c>
      <c r="B17" s="15" t="n">
        <f aca="false">Balances!I27</f>
        <v>181522</v>
      </c>
      <c r="C17" s="15" t="n">
        <f aca="false">Balances!I28</f>
        <v>5920</v>
      </c>
    </row>
    <row r="18" customFormat="false" ht="15" hidden="false" customHeight="false" outlineLevel="0" collapsed="false">
      <c r="A18" s="14" t="s">
        <v>41</v>
      </c>
      <c r="B18" s="15" t="n">
        <f aca="false">Balances!J27</f>
        <v>187443</v>
      </c>
      <c r="C18" s="15" t="n">
        <f aca="false">Balances!J28</f>
        <v>5921</v>
      </c>
    </row>
    <row r="19" customFormat="false" ht="15" hidden="false" customHeight="false" outlineLevel="0" collapsed="false">
      <c r="A19" s="14" t="s">
        <v>42</v>
      </c>
      <c r="B19" s="15" t="n">
        <f aca="false">Balances!K27</f>
        <v>193363</v>
      </c>
      <c r="C19" s="15" t="n">
        <f aca="false">Balances!K28</f>
        <v>5920</v>
      </c>
    </row>
    <row r="20" customFormat="false" ht="15" hidden="false" customHeight="false" outlineLevel="0" collapsed="false">
      <c r="A20" s="14" t="s">
        <v>43</v>
      </c>
      <c r="B20" s="15" t="n">
        <f aca="false">Balances!L27</f>
        <v>199284</v>
      </c>
      <c r="C20" s="15" t="n">
        <f aca="false">Balances!L28</f>
        <v>5921</v>
      </c>
    </row>
    <row r="21" customFormat="false" ht="15" hidden="false" customHeight="false" outlineLevel="0" collapsed="false">
      <c r="A21" s="14" t="s">
        <v>44</v>
      </c>
      <c r="B21" s="15" t="n">
        <f aca="false">Balances!M27</f>
        <v>205204</v>
      </c>
      <c r="C21" s="15" t="n">
        <f aca="false">Balances!M28</f>
        <v>5920</v>
      </c>
    </row>
    <row r="22" customFormat="false" ht="15" hidden="false" customHeight="false" outlineLevel="0" collapsed="false">
      <c r="A22" s="14" t="s">
        <v>45</v>
      </c>
      <c r="B22" s="15" t="n">
        <f aca="false">Balances!N27</f>
        <v>211124</v>
      </c>
      <c r="C22" s="15" t="n">
        <f aca="false">Balances!N28</f>
        <v>5920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14" min="3" style="0" width="11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2" t="s">
        <v>48</v>
      </c>
    </row>
    <row r="5" customFormat="false" ht="30" hidden="false" customHeight="true" outlineLevel="0" collapsed="false">
      <c r="A5" s="21" t="s">
        <v>49</v>
      </c>
      <c r="B5" s="21" t="s">
        <v>50</v>
      </c>
      <c r="C5" s="21" t="s">
        <v>34</v>
      </c>
      <c r="D5" s="21" t="s">
        <v>35</v>
      </c>
      <c r="E5" s="21" t="s">
        <v>36</v>
      </c>
      <c r="F5" s="21" t="s">
        <v>37</v>
      </c>
      <c r="G5" s="21" t="s">
        <v>38</v>
      </c>
      <c r="H5" s="21" t="s">
        <v>39</v>
      </c>
      <c r="I5" s="21" t="s">
        <v>40</v>
      </c>
      <c r="J5" s="21" t="s">
        <v>41</v>
      </c>
      <c r="K5" s="21" t="s">
        <v>42</v>
      </c>
      <c r="L5" s="21" t="s">
        <v>43</v>
      </c>
      <c r="M5" s="21" t="s">
        <v>44</v>
      </c>
      <c r="N5" s="21" t="s">
        <v>45</v>
      </c>
    </row>
    <row r="6" customFormat="false" ht="15" hidden="false" customHeight="false" outlineLevel="0" collapsed="false">
      <c r="A6" s="22" t="s">
        <v>51</v>
      </c>
      <c r="B6" s="22" t="s">
        <v>21</v>
      </c>
      <c r="C6" s="23" t="n">
        <v>3200</v>
      </c>
      <c r="D6" s="23" t="n">
        <v>3264</v>
      </c>
      <c r="E6" s="23" t="n">
        <v>3328</v>
      </c>
      <c r="F6" s="23" t="n">
        <v>3392</v>
      </c>
      <c r="G6" s="23" t="n">
        <v>3456</v>
      </c>
      <c r="H6" s="23" t="n">
        <v>3520</v>
      </c>
      <c r="I6" s="23" t="n">
        <v>3584</v>
      </c>
      <c r="J6" s="23" t="n">
        <v>3648</v>
      </c>
      <c r="K6" s="23" t="n">
        <v>3712</v>
      </c>
      <c r="L6" s="23" t="n">
        <v>3776</v>
      </c>
      <c r="M6" s="23" t="n">
        <v>3840</v>
      </c>
      <c r="N6" s="23" t="n">
        <v>3904</v>
      </c>
    </row>
    <row r="7" customFormat="false" ht="15" hidden="false" customHeight="false" outlineLevel="0" collapsed="false">
      <c r="A7" s="22" t="s">
        <v>52</v>
      </c>
      <c r="B7" s="22" t="s">
        <v>21</v>
      </c>
      <c r="C7" s="23" t="n">
        <v>8500</v>
      </c>
      <c r="D7" s="23" t="n">
        <v>8670</v>
      </c>
      <c r="E7" s="23" t="n">
        <v>8840</v>
      </c>
      <c r="F7" s="23" t="n">
        <v>9010</v>
      </c>
      <c r="G7" s="23" t="n">
        <v>9180</v>
      </c>
      <c r="H7" s="23" t="n">
        <v>9350</v>
      </c>
      <c r="I7" s="23" t="n">
        <v>9520</v>
      </c>
      <c r="J7" s="23" t="n">
        <v>9690</v>
      </c>
      <c r="K7" s="23" t="n">
        <v>9860</v>
      </c>
      <c r="L7" s="23" t="n">
        <v>10030</v>
      </c>
      <c r="M7" s="23" t="n">
        <v>10200</v>
      </c>
      <c r="N7" s="23" t="n">
        <v>10370</v>
      </c>
    </row>
    <row r="8" customFormat="false" ht="15" hidden="false" customHeight="false" outlineLevel="0" collapsed="false">
      <c r="A8" s="22" t="s">
        <v>53</v>
      </c>
      <c r="B8" s="22" t="s">
        <v>54</v>
      </c>
      <c r="C8" s="23" t="n">
        <v>42000</v>
      </c>
      <c r="D8" s="23" t="n">
        <v>42504</v>
      </c>
      <c r="E8" s="23" t="n">
        <v>43008</v>
      </c>
      <c r="F8" s="23" t="n">
        <v>43512</v>
      </c>
      <c r="G8" s="23" t="n">
        <v>44016</v>
      </c>
      <c r="H8" s="23" t="n">
        <v>44520</v>
      </c>
      <c r="I8" s="23" t="n">
        <v>45024</v>
      </c>
      <c r="J8" s="23" t="n">
        <v>45528</v>
      </c>
      <c r="K8" s="23" t="n">
        <v>46032</v>
      </c>
      <c r="L8" s="23" t="n">
        <v>46536</v>
      </c>
      <c r="M8" s="23" t="n">
        <v>47040</v>
      </c>
      <c r="N8" s="23" t="n">
        <v>47544</v>
      </c>
    </row>
    <row r="9" customFormat="false" ht="15" hidden="false" customHeight="false" outlineLevel="0" collapsed="false">
      <c r="A9" s="22" t="s">
        <v>55</v>
      </c>
      <c r="B9" s="22" t="s">
        <v>54</v>
      </c>
      <c r="C9" s="23" t="n">
        <v>15500</v>
      </c>
      <c r="D9" s="23" t="n">
        <v>15686</v>
      </c>
      <c r="E9" s="23" t="n">
        <v>15872</v>
      </c>
      <c r="F9" s="23" t="n">
        <v>16058</v>
      </c>
      <c r="G9" s="23" t="n">
        <v>16244</v>
      </c>
      <c r="H9" s="23" t="n">
        <v>16430</v>
      </c>
      <c r="I9" s="23" t="n">
        <v>16616</v>
      </c>
      <c r="J9" s="23" t="n">
        <v>16802</v>
      </c>
      <c r="K9" s="23" t="n">
        <v>16988</v>
      </c>
      <c r="L9" s="23" t="n">
        <v>17174</v>
      </c>
      <c r="M9" s="23" t="n">
        <v>17360</v>
      </c>
      <c r="N9" s="23" t="n">
        <v>17546</v>
      </c>
    </row>
    <row r="10" customFormat="false" ht="15" hidden="false" customHeight="false" outlineLevel="0" collapsed="false">
      <c r="A10" s="22" t="s">
        <v>56</v>
      </c>
      <c r="B10" s="22" t="s">
        <v>54</v>
      </c>
      <c r="C10" s="23" t="n">
        <v>6200</v>
      </c>
      <c r="D10" s="23" t="n">
        <v>6274</v>
      </c>
      <c r="E10" s="23" t="n">
        <v>6349</v>
      </c>
      <c r="F10" s="23" t="n">
        <v>6423</v>
      </c>
      <c r="G10" s="23" t="n">
        <v>6498</v>
      </c>
      <c r="H10" s="23" t="n">
        <v>6572</v>
      </c>
      <c r="I10" s="23" t="n">
        <v>6646</v>
      </c>
      <c r="J10" s="23" t="n">
        <v>6721</v>
      </c>
      <c r="K10" s="23" t="n">
        <v>6795</v>
      </c>
      <c r="L10" s="23" t="n">
        <v>6870</v>
      </c>
      <c r="M10" s="23" t="n">
        <v>6944</v>
      </c>
      <c r="N10" s="23" t="n">
        <v>7018</v>
      </c>
    </row>
    <row r="11" customFormat="false" ht="15" hidden="false" customHeight="false" outlineLevel="0" collapsed="false">
      <c r="A11" s="22" t="s">
        <v>57</v>
      </c>
      <c r="B11" s="22" t="s">
        <v>23</v>
      </c>
      <c r="C11" s="23" t="n">
        <v>385000</v>
      </c>
      <c r="D11" s="23" t="n">
        <v>386540</v>
      </c>
      <c r="E11" s="23" t="n">
        <v>388080</v>
      </c>
      <c r="F11" s="23" t="n">
        <v>389620</v>
      </c>
      <c r="G11" s="23" t="n">
        <v>391160</v>
      </c>
      <c r="H11" s="23" t="n">
        <v>392700</v>
      </c>
      <c r="I11" s="23" t="n">
        <v>394240</v>
      </c>
      <c r="J11" s="23" t="n">
        <v>395780</v>
      </c>
      <c r="K11" s="23" t="n">
        <v>397320</v>
      </c>
      <c r="L11" s="23" t="n">
        <v>398860</v>
      </c>
      <c r="M11" s="23" t="n">
        <v>400400</v>
      </c>
      <c r="N11" s="23" t="n">
        <v>401940</v>
      </c>
    </row>
    <row r="12" customFormat="false" ht="15" hidden="false" customHeight="false" outlineLevel="0" collapsed="false">
      <c r="A12" s="22" t="s">
        <v>58</v>
      </c>
      <c r="B12" s="22" t="s">
        <v>23</v>
      </c>
      <c r="C12" s="23" t="n">
        <v>17000</v>
      </c>
      <c r="D12" s="23" t="n">
        <v>17068</v>
      </c>
      <c r="E12" s="23" t="n">
        <v>17136</v>
      </c>
      <c r="F12" s="23" t="n">
        <v>17204</v>
      </c>
      <c r="G12" s="23" t="n">
        <v>17272</v>
      </c>
      <c r="H12" s="23" t="n">
        <v>17340</v>
      </c>
      <c r="I12" s="23" t="n">
        <v>17408</v>
      </c>
      <c r="J12" s="23" t="n">
        <v>17476</v>
      </c>
      <c r="K12" s="23" t="n">
        <v>17544</v>
      </c>
      <c r="L12" s="23" t="n">
        <v>17612</v>
      </c>
      <c r="M12" s="23" t="n">
        <v>17680</v>
      </c>
      <c r="N12" s="23" t="n">
        <v>17748</v>
      </c>
    </row>
    <row r="13" customFormat="false" ht="15" hidden="false" customHeight="false" outlineLevel="0" collapsed="false">
      <c r="A13" s="22" t="s">
        <v>59</v>
      </c>
      <c r="B13" s="22" t="s">
        <v>60</v>
      </c>
      <c r="C13" s="23" t="n">
        <v>-298000</v>
      </c>
      <c r="D13" s="23" t="n">
        <v>-295020</v>
      </c>
      <c r="E13" s="23" t="n">
        <v>-292040</v>
      </c>
      <c r="F13" s="23" t="n">
        <v>-289060</v>
      </c>
      <c r="G13" s="23" t="n">
        <v>-286080</v>
      </c>
      <c r="H13" s="23" t="n">
        <v>-283100</v>
      </c>
      <c r="I13" s="23" t="n">
        <v>-280120</v>
      </c>
      <c r="J13" s="23" t="n">
        <v>-277140</v>
      </c>
      <c r="K13" s="23" t="n">
        <v>-274160</v>
      </c>
      <c r="L13" s="23" t="n">
        <v>-271180</v>
      </c>
      <c r="M13" s="23" t="n">
        <v>-268200</v>
      </c>
      <c r="N13" s="23" t="n">
        <v>-265220</v>
      </c>
    </row>
    <row r="14" customFormat="false" ht="15" hidden="false" customHeight="false" outlineLevel="0" collapsed="false">
      <c r="A14" s="22" t="s">
        <v>61</v>
      </c>
      <c r="B14" s="22" t="s">
        <v>60</v>
      </c>
      <c r="C14" s="23" t="n">
        <v>-11800</v>
      </c>
      <c r="D14" s="23" t="n">
        <v>-11682</v>
      </c>
      <c r="E14" s="23" t="n">
        <v>-11564</v>
      </c>
      <c r="F14" s="23" t="n">
        <v>-11446</v>
      </c>
      <c r="G14" s="23" t="n">
        <v>-11328</v>
      </c>
      <c r="H14" s="23" t="n">
        <v>-11210</v>
      </c>
      <c r="I14" s="23" t="n">
        <v>-11092</v>
      </c>
      <c r="J14" s="23" t="n">
        <v>-10974</v>
      </c>
      <c r="K14" s="23" t="n">
        <v>-10856</v>
      </c>
      <c r="L14" s="23" t="n">
        <v>-10738</v>
      </c>
      <c r="M14" s="23" t="n">
        <v>-10620</v>
      </c>
      <c r="N14" s="23" t="n">
        <v>-10502</v>
      </c>
    </row>
    <row r="15" customFormat="false" ht="15" hidden="false" customHeight="false" outlineLevel="0" collapsed="false">
      <c r="A15" s="22" t="s">
        <v>62</v>
      </c>
      <c r="B15" s="22" t="s">
        <v>60</v>
      </c>
      <c r="C15" s="23" t="n">
        <v>-3100</v>
      </c>
      <c r="D15" s="23" t="n">
        <v>-3069</v>
      </c>
      <c r="E15" s="23" t="n">
        <v>-3038</v>
      </c>
      <c r="F15" s="23" t="n">
        <v>-3007</v>
      </c>
      <c r="G15" s="23" t="n">
        <v>-2976</v>
      </c>
      <c r="H15" s="23" t="n">
        <v>-2945</v>
      </c>
      <c r="I15" s="23" t="n">
        <v>-2914</v>
      </c>
      <c r="J15" s="23" t="n">
        <v>-2883</v>
      </c>
      <c r="K15" s="23" t="n">
        <v>-2852</v>
      </c>
      <c r="L15" s="23" t="n">
        <v>-2821</v>
      </c>
      <c r="M15" s="23" t="n">
        <v>-2790</v>
      </c>
      <c r="N15" s="23" t="n">
        <v>-2759</v>
      </c>
    </row>
    <row r="16" customFormat="false" ht="15" hidden="false" customHeight="false" outlineLevel="0" collapsed="false">
      <c r="A16" s="22" t="s">
        <v>63</v>
      </c>
      <c r="B16" s="22" t="s">
        <v>60</v>
      </c>
      <c r="C16" s="23" t="n">
        <v>-18500</v>
      </c>
      <c r="D16" s="23" t="n">
        <v>-18315</v>
      </c>
      <c r="E16" s="23" t="n">
        <v>-18130</v>
      </c>
      <c r="F16" s="23" t="n">
        <v>-17945</v>
      </c>
      <c r="G16" s="23" t="n">
        <v>-17760</v>
      </c>
      <c r="H16" s="23" t="n">
        <v>-17575</v>
      </c>
      <c r="I16" s="23" t="n">
        <v>-17390</v>
      </c>
      <c r="J16" s="23" t="n">
        <v>-17205</v>
      </c>
      <c r="K16" s="23" t="n">
        <v>-17020</v>
      </c>
      <c r="L16" s="23" t="n">
        <v>-16835</v>
      </c>
      <c r="M16" s="23" t="n">
        <v>-16650</v>
      </c>
      <c r="N16" s="23" t="n">
        <v>-16465</v>
      </c>
    </row>
    <row r="17" customFormat="false" ht="15" hidden="false" customHeight="false" outlineLevel="0" collapsed="false">
      <c r="A17" s="22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</row>
    <row r="18" customFormat="false" ht="15" hidden="false" customHeight="false" outlineLevel="0" collapsed="false">
      <c r="A18" s="22"/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</row>
    <row r="19" customFormat="false" ht="15" hidden="false" customHeight="false" outlineLevel="0" collapsed="false">
      <c r="A19" s="22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</row>
    <row r="20" customFormat="false" ht="15" hidden="false" customHeight="false" outlineLevel="0" collapsed="false">
      <c r="A20" s="22"/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</row>
    <row r="21" customFormat="false" ht="15" hidden="false" customHeight="false" outlineLevel="0" collapsed="false">
      <c r="A21" s="22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customFormat="false" ht="15" hidden="false" customHeight="false" outlineLevel="0" collapsed="false">
      <c r="A22" s="22"/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 customFormat="false" ht="15" hidden="false" customHeight="false" outlineLevel="0" collapsed="false">
      <c r="A23" s="12" t="s">
        <v>64</v>
      </c>
      <c r="C23" s="24" t="n">
        <f aca="false">SUMIF($B$6:$B$22,"Cash",C6:C22)</f>
        <v>11700</v>
      </c>
      <c r="D23" s="24" t="n">
        <f aca="false">SUMIF($B$6:$B$22,"Cash",D6:D22)</f>
        <v>11934</v>
      </c>
      <c r="E23" s="24" t="n">
        <f aca="false">SUMIF($B$6:$B$22,"Cash",E6:E22)</f>
        <v>12168</v>
      </c>
      <c r="F23" s="24" t="n">
        <f aca="false">SUMIF($B$6:$B$22,"Cash",F6:F22)</f>
        <v>12402</v>
      </c>
      <c r="G23" s="24" t="n">
        <f aca="false">SUMIF($B$6:$B$22,"Cash",G6:G22)</f>
        <v>12636</v>
      </c>
      <c r="H23" s="24" t="n">
        <f aca="false">SUMIF($B$6:$B$22,"Cash",H6:H22)</f>
        <v>12870</v>
      </c>
      <c r="I23" s="24" t="n">
        <f aca="false">SUMIF($B$6:$B$22,"Cash",I6:I22)</f>
        <v>13104</v>
      </c>
      <c r="J23" s="24" t="n">
        <f aca="false">SUMIF($B$6:$B$22,"Cash",J6:J22)</f>
        <v>13338</v>
      </c>
      <c r="K23" s="24" t="n">
        <f aca="false">SUMIF($B$6:$B$22,"Cash",K6:K22)</f>
        <v>13572</v>
      </c>
      <c r="L23" s="24" t="n">
        <f aca="false">SUMIF($B$6:$B$22,"Cash",L6:L22)</f>
        <v>13806</v>
      </c>
      <c r="M23" s="24" t="n">
        <f aca="false">SUMIF($B$6:$B$22,"Cash",M6:M22)</f>
        <v>14040</v>
      </c>
      <c r="N23" s="24" t="n">
        <f aca="false">SUMIF($B$6:$B$22,"Cash",N6:N22)</f>
        <v>14274</v>
      </c>
    </row>
    <row r="24" customFormat="false" ht="15" hidden="false" customHeight="false" outlineLevel="0" collapsed="false">
      <c r="A24" s="12" t="s">
        <v>65</v>
      </c>
      <c r="C24" s="24" t="n">
        <f aca="false">SUMIF($B$6:$B$22,"Investment",C6:C22)</f>
        <v>63700</v>
      </c>
      <c r="D24" s="24" t="n">
        <f aca="false">SUMIF($B$6:$B$22,"Investment",D6:D22)</f>
        <v>64464</v>
      </c>
      <c r="E24" s="24" t="n">
        <f aca="false">SUMIF($B$6:$B$22,"Investment",E6:E22)</f>
        <v>65229</v>
      </c>
      <c r="F24" s="24" t="n">
        <f aca="false">SUMIF($B$6:$B$22,"Investment",F6:F22)</f>
        <v>65993</v>
      </c>
      <c r="G24" s="24" t="n">
        <f aca="false">SUMIF($B$6:$B$22,"Investment",G6:G22)</f>
        <v>66758</v>
      </c>
      <c r="H24" s="24" t="n">
        <f aca="false">SUMIF($B$6:$B$22,"Investment",H6:H22)</f>
        <v>67522</v>
      </c>
      <c r="I24" s="24" t="n">
        <f aca="false">SUMIF($B$6:$B$22,"Investment",I6:I22)</f>
        <v>68286</v>
      </c>
      <c r="J24" s="24" t="n">
        <f aca="false">SUMIF($B$6:$B$22,"Investment",J6:J22)</f>
        <v>69051</v>
      </c>
      <c r="K24" s="24" t="n">
        <f aca="false">SUMIF($B$6:$B$22,"Investment",K6:K22)</f>
        <v>69815</v>
      </c>
      <c r="L24" s="24" t="n">
        <f aca="false">SUMIF($B$6:$B$22,"Investment",L6:L22)</f>
        <v>70580</v>
      </c>
      <c r="M24" s="24" t="n">
        <f aca="false">SUMIF($B$6:$B$22,"Investment",M6:M22)</f>
        <v>71344</v>
      </c>
      <c r="N24" s="24" t="n">
        <f aca="false">SUMIF($B$6:$B$22,"Investment",N6:N22)</f>
        <v>72108</v>
      </c>
    </row>
    <row r="25" customFormat="false" ht="15" hidden="false" customHeight="false" outlineLevel="0" collapsed="false">
      <c r="A25" s="12" t="s">
        <v>66</v>
      </c>
      <c r="C25" s="24" t="n">
        <f aca="false">SUMIF($B$6:$B$22,"Property",C6:C22)</f>
        <v>402000</v>
      </c>
      <c r="D25" s="24" t="n">
        <f aca="false">SUMIF($B$6:$B$22,"Property",D6:D22)</f>
        <v>403608</v>
      </c>
      <c r="E25" s="24" t="n">
        <f aca="false">SUMIF($B$6:$B$22,"Property",E6:E22)</f>
        <v>405216</v>
      </c>
      <c r="F25" s="24" t="n">
        <f aca="false">SUMIF($B$6:$B$22,"Property",F6:F22)</f>
        <v>406824</v>
      </c>
      <c r="G25" s="24" t="n">
        <f aca="false">SUMIF($B$6:$B$22,"Property",G6:G22)</f>
        <v>408432</v>
      </c>
      <c r="H25" s="24" t="n">
        <f aca="false">SUMIF($B$6:$B$22,"Property",H6:H22)</f>
        <v>410040</v>
      </c>
      <c r="I25" s="24" t="n">
        <f aca="false">SUMIF($B$6:$B$22,"Property",I6:I22)</f>
        <v>411648</v>
      </c>
      <c r="J25" s="24" t="n">
        <f aca="false">SUMIF($B$6:$B$22,"Property",J6:J22)</f>
        <v>413256</v>
      </c>
      <c r="K25" s="24" t="n">
        <f aca="false">SUMIF($B$6:$B$22,"Property",K6:K22)</f>
        <v>414864</v>
      </c>
      <c r="L25" s="24" t="n">
        <f aca="false">SUMIF($B$6:$B$22,"Property",L6:L22)</f>
        <v>416472</v>
      </c>
      <c r="M25" s="24" t="n">
        <f aca="false">SUMIF($B$6:$B$22,"Property",M6:M22)</f>
        <v>418080</v>
      </c>
      <c r="N25" s="24" t="n">
        <f aca="false">SUMIF($B$6:$B$22,"Property",N6:N22)</f>
        <v>419688</v>
      </c>
    </row>
    <row r="26" customFormat="false" ht="15" hidden="false" customHeight="false" outlineLevel="0" collapsed="false">
      <c r="A26" s="12" t="s">
        <v>67</v>
      </c>
      <c r="C26" s="24" t="n">
        <f aca="false">SUMIF($B$6:$B$22,"Debt",C6:C22)</f>
        <v>-331400</v>
      </c>
      <c r="D26" s="24" t="n">
        <f aca="false">SUMIF($B$6:$B$22,"Debt",D6:D22)</f>
        <v>-328086</v>
      </c>
      <c r="E26" s="24" t="n">
        <f aca="false">SUMIF($B$6:$B$22,"Debt",E6:E22)</f>
        <v>-324772</v>
      </c>
      <c r="F26" s="24" t="n">
        <f aca="false">SUMIF($B$6:$B$22,"Debt",F6:F22)</f>
        <v>-321458</v>
      </c>
      <c r="G26" s="24" t="n">
        <f aca="false">SUMIF($B$6:$B$22,"Debt",G6:G22)</f>
        <v>-318144</v>
      </c>
      <c r="H26" s="24" t="n">
        <f aca="false">SUMIF($B$6:$B$22,"Debt",H6:H22)</f>
        <v>-314830</v>
      </c>
      <c r="I26" s="24" t="n">
        <f aca="false">SUMIF($B$6:$B$22,"Debt",I6:I22)</f>
        <v>-311516</v>
      </c>
      <c r="J26" s="24" t="n">
        <f aca="false">SUMIF($B$6:$B$22,"Debt",J6:J22)</f>
        <v>-308202</v>
      </c>
      <c r="K26" s="24" t="n">
        <f aca="false">SUMIF($B$6:$B$22,"Debt",K6:K22)</f>
        <v>-304888</v>
      </c>
      <c r="L26" s="24" t="n">
        <f aca="false">SUMIF($B$6:$B$22,"Debt",L6:L22)</f>
        <v>-301574</v>
      </c>
      <c r="M26" s="24" t="n">
        <f aca="false">SUMIF($B$6:$B$22,"Debt",M6:M22)</f>
        <v>-298260</v>
      </c>
      <c r="N26" s="24" t="n">
        <f aca="false">SUMIF($B$6:$B$22,"Debt",N6:N22)</f>
        <v>-294946</v>
      </c>
    </row>
    <row r="27" customFormat="false" ht="15" hidden="false" customHeight="false" outlineLevel="0" collapsed="false">
      <c r="A27" s="12" t="s">
        <v>68</v>
      </c>
      <c r="C27" s="24" t="n">
        <f aca="false">IF(COUNT(C6:C22)=0,"",C23+C24+C25+C26)</f>
        <v>146000</v>
      </c>
      <c r="D27" s="24" t="n">
        <f aca="false">IF(COUNT(D6:D22)=0,"",D23+D24+D25+D26)</f>
        <v>151920</v>
      </c>
      <c r="E27" s="24" t="n">
        <f aca="false">IF(COUNT(E6:E22)=0,"",E23+E24+E25+E26)</f>
        <v>157841</v>
      </c>
      <c r="F27" s="24" t="n">
        <f aca="false">IF(COUNT(F6:F22)=0,"",F23+F24+F25+F26)</f>
        <v>163761</v>
      </c>
      <c r="G27" s="24" t="n">
        <f aca="false">IF(COUNT(G6:G22)=0,"",G23+G24+G25+G26)</f>
        <v>169682</v>
      </c>
      <c r="H27" s="24" t="n">
        <f aca="false">IF(COUNT(H6:H22)=0,"",H23+H24+H25+H26)</f>
        <v>175602</v>
      </c>
      <c r="I27" s="24" t="n">
        <f aca="false">IF(COUNT(I6:I22)=0,"",I23+I24+I25+I26)</f>
        <v>181522</v>
      </c>
      <c r="J27" s="24" t="n">
        <f aca="false">IF(COUNT(J6:J22)=0,"",J23+J24+J25+J26)</f>
        <v>187443</v>
      </c>
      <c r="K27" s="24" t="n">
        <f aca="false">IF(COUNT(K6:K22)=0,"",K23+K24+K25+K26)</f>
        <v>193363</v>
      </c>
      <c r="L27" s="24" t="n">
        <f aca="false">IF(COUNT(L6:L22)=0,"",L23+L24+L25+L26)</f>
        <v>199284</v>
      </c>
      <c r="M27" s="24" t="n">
        <f aca="false">IF(COUNT(M6:M22)=0,"",M23+M24+M25+M26)</f>
        <v>205204</v>
      </c>
      <c r="N27" s="24" t="n">
        <f aca="false">IF(COUNT(N6:N22)=0,"",N23+N24+N25+N26)</f>
        <v>211124</v>
      </c>
    </row>
    <row r="28" customFormat="false" ht="15" hidden="false" customHeight="false" outlineLevel="0" collapsed="false">
      <c r="A28" s="14" t="s">
        <v>69</v>
      </c>
      <c r="D28" s="25" t="n">
        <f aca="false">IF(OR(D27="",C27=""),"",D27-C27)</f>
        <v>5920</v>
      </c>
      <c r="E28" s="25" t="n">
        <f aca="false">IF(OR(E27="",D27=""),"",E27-D27)</f>
        <v>5921</v>
      </c>
      <c r="F28" s="25" t="n">
        <f aca="false">IF(OR(F27="",E27=""),"",F27-E27)</f>
        <v>5920</v>
      </c>
      <c r="G28" s="25" t="n">
        <f aca="false">IF(OR(G27="",F27=""),"",G27-F27)</f>
        <v>5921</v>
      </c>
      <c r="H28" s="25" t="n">
        <f aca="false">IF(OR(H27="",G27=""),"",H27-G27)</f>
        <v>5920</v>
      </c>
      <c r="I28" s="25" t="n">
        <f aca="false">IF(OR(I27="",H27=""),"",I27-H27)</f>
        <v>5920</v>
      </c>
      <c r="J28" s="25" t="n">
        <f aca="false">IF(OR(J27="",I27=""),"",J27-I27)</f>
        <v>5921</v>
      </c>
      <c r="K28" s="25" t="n">
        <f aca="false">IF(OR(K27="",J27=""),"",K27-J27)</f>
        <v>5920</v>
      </c>
      <c r="L28" s="25" t="n">
        <f aca="false">IF(OR(L27="",K27=""),"",L27-K27)</f>
        <v>5921</v>
      </c>
      <c r="M28" s="25" t="n">
        <f aca="false">IF(OR(M27="",L27=""),"",M27-L27)</f>
        <v>5920</v>
      </c>
      <c r="N28" s="25" t="n">
        <f aca="false">IF(OR(N27="",M27=""),"",N27-M27)</f>
        <v>5920</v>
      </c>
    </row>
    <row r="29" customFormat="false" ht="15" hidden="false" customHeight="false" outlineLevel="0" collapsed="false">
      <c r="A29" s="14" t="s">
        <v>70</v>
      </c>
      <c r="C29" s="17" t="n">
        <f aca="false">IF(C27="","",IF((C23+C24+C25)=0,0,-C26/(C23+C24+C25)))</f>
        <v>0.694176790950985</v>
      </c>
      <c r="D29" s="17" t="n">
        <f aca="false">IF(D27="","",IF((D23+D24+D25)=0,0,-D26/(D23+D24+D25)))</f>
        <v>0.683503956200548</v>
      </c>
      <c r="E29" s="17" t="n">
        <f aca="false">IF(E27="","",IF((E23+E24+E25)=0,0,-E26/(E23+E24+E25)))</f>
        <v>0.672944989049197</v>
      </c>
      <c r="F29" s="17" t="n">
        <f aca="false">IF(F27="","",IF((F23+F24+F25)=0,0,-F26/(F23+F24+F25)))</f>
        <v>0.66250085013159</v>
      </c>
      <c r="G29" s="17" t="n">
        <f aca="false">IF(G27="","",IF((G23+G24+G25)=0,0,-G26/(G23+G24+G25)))</f>
        <v>0.652166961170581</v>
      </c>
      <c r="H29" s="17" t="n">
        <f aca="false">IF(H27="","",IF((H23+H24+H25)=0,0,-H26/(H23+H24+H25)))</f>
        <v>0.641944245073731</v>
      </c>
      <c r="I29" s="17" t="n">
        <f aca="false">IF(I27="","",IF((I23+I24+I25)=0,0,-I26/(I23+I24+I25)))</f>
        <v>0.631829595284745</v>
      </c>
      <c r="J29" s="17" t="n">
        <f aca="false">IF(J27="","",IF((J23+J24+J25)=0,0,-J26/(J23+J24+J25)))</f>
        <v>0.621820052658657</v>
      </c>
      <c r="K29" s="17" t="n">
        <f aca="false">IF(K27="","",IF((K23+K24+K25)=0,0,-K26/(K23+K24+K25)))</f>
        <v>0.611916483860544</v>
      </c>
      <c r="L29" s="17" t="n">
        <f aca="false">IF(L27="","",IF((L23+L24+L25)=0,0,-L26/(L23+L24+L25)))</f>
        <v>0.602114771052873</v>
      </c>
      <c r="M29" s="17" t="n">
        <f aca="false">IF(M27="","",IF((M23+M24+M25)=0,0,-M26/(M23+M24+M25)))</f>
        <v>0.592415743727456</v>
      </c>
      <c r="N29" s="17" t="n">
        <f aca="false">IF(N27="","",IF((N23+N24+N25)=0,0,-N26/(N23+N24+N25)))</f>
        <v>0.582816606398324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2026-09-18T06:47:52Z</dcterms:created>
  <dc:creator>openpyxl</dc:creator>
  <dc:description/>
  <dc:language>en-US</dc:language>
  <cp:lastModifiedBy/>
  <dcterms:modified xsi:type="dcterms:W3CDTF">2026-09-18T06:47:54Z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